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.gaudin\Desktop\Projet_BOB\Etude_techdeCo\"/>
    </mc:Choice>
  </mc:AlternateContent>
  <xr:revisionPtr revIDLastSave="0" documentId="13_ncr:1_{3FB7602A-FF8E-4636-B24F-3D1CB8BB1E27}" xr6:coauthVersionLast="47" xr6:coauthVersionMax="47" xr10:uidLastSave="{00000000-0000-0000-0000-000000000000}"/>
  <bookViews>
    <workbookView xWindow="-104" yWindow="-104" windowWidth="22326" windowHeight="12050" activeTab="2" xr2:uid="{00000000-000D-0000-FFFF-FFFF00000000}"/>
  </bookViews>
  <sheets>
    <sheet name="Bibliotheque" sheetId="1" r:id="rId1"/>
    <sheet name="Feuil1" sheetId="2" r:id="rId2"/>
    <sheet name="Conta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2" i="2"/>
  <c r="N3" i="2"/>
  <c r="N4" i="2"/>
  <c r="N2" i="2"/>
  <c r="L3" i="2"/>
  <c r="L4" i="2"/>
  <c r="L5" i="2"/>
  <c r="L6" i="2"/>
  <c r="L2" i="2"/>
  <c r="J3" i="2"/>
  <c r="J4" i="2"/>
  <c r="J5" i="2"/>
  <c r="J2" i="2"/>
  <c r="H3" i="2"/>
  <c r="H4" i="2"/>
  <c r="H2" i="2"/>
  <c r="F3" i="2"/>
  <c r="F4" i="2"/>
  <c r="F5" i="2"/>
  <c r="F2" i="2"/>
  <c r="D3" i="2"/>
  <c r="D4" i="2"/>
  <c r="D5" i="2"/>
  <c r="D6" i="2"/>
  <c r="D7" i="2"/>
  <c r="D2" i="2"/>
  <c r="B4" i="2"/>
  <c r="B3" i="2"/>
  <c r="B2" i="2"/>
</calcChain>
</file>

<file path=xl/sharedStrings.xml><?xml version="1.0" encoding="utf-8"?>
<sst xmlns="http://schemas.openxmlformats.org/spreadsheetml/2006/main" count="2194" uniqueCount="2127">
  <si>
    <t>N°Obs</t>
  </si>
  <si>
    <t>Quels est votre genre ?</t>
  </si>
  <si>
    <t>Dans quelle tranche d'âge vous situez-vous ?</t>
  </si>
  <si>
    <t>Quelle est votre situation professionnelle actuelle ?</t>
  </si>
  <si>
    <t>Autre :</t>
  </si>
  <si>
    <t>Dans quel type de logement vivez-vous actuellement ?</t>
  </si>
  <si>
    <t>Autre : :</t>
  </si>
  <si>
    <t>Quel est le code postal de votre lieu de résidence ?</t>
  </si>
  <si>
    <t>Comment définiriez-vous l'emplacement de votre domicile par rapport au centre-ville ?</t>
  </si>
  <si>
    <t>Une bibliothèque d'objets à Besançon vous intéresserait-elle ?</t>
  </si>
  <si>
    <t>Quelles raisons vous motiveraient à utiliser une bibliothèque d'objets ? (Plusieurs réponses possibles)</t>
  </si>
  <si>
    <t>Accepteriez-vous de partager certains de vos objets personnels avec d'autres utilisateurs ?</t>
  </si>
  <si>
    <t>Si oui, quels types d'objets seriez-vous prêt(e) à partager ?</t>
  </si>
  <si>
    <t>Avez-vous déjà utilisé des services de location ou de prêt d'objets ?_</t>
  </si>
  <si>
    <t>Accepteriez-vous de payer une cotisation pour accéder à une bibliothèque d'objets ?</t>
  </si>
  <si>
    <t>Pour un objet d'une valeur de 200€ neuf, quel prix maximum de location journalière seriez-vous prêt(e) à payer ?</t>
  </si>
  <si>
    <t>Quels critères considérez-vous comme essentiels pour utiliser un service de prêt d'objets ? (Plusieurs réponses possibles)</t>
  </si>
  <si>
    <t>Souhaitez-vous recevoir des informations sur l'évolution de ce projet ?</t>
  </si>
  <si>
    <t>Nom + prénom :</t>
  </si>
  <si>
    <t>E-mail :</t>
  </si>
  <si>
    <t>Téléphone (facultatif) :</t>
  </si>
  <si>
    <t>Clé</t>
  </si>
  <si>
    <t>Date de saisie</t>
  </si>
  <si>
    <t>Date de dernière modification</t>
  </si>
  <si>
    <t>Date de dernier enregistrement</t>
  </si>
  <si>
    <t>Temps de saisie</t>
  </si>
  <si>
    <t>Langue</t>
  </si>
  <si>
    <t>Progression</t>
  </si>
  <si>
    <t>Dernière question saisie</t>
  </si>
  <si>
    <t>Origine</t>
  </si>
  <si>
    <t>Appareil utilisé pour la saisie</t>
  </si>
  <si>
    <t>Campagne de diffusion</t>
  </si>
  <si>
    <t>5324-DVG6</t>
  </si>
  <si>
    <t>28/03/2025 14:49:02</t>
  </si>
  <si>
    <t>28/03/2025 14:51:32</t>
  </si>
  <si>
    <t>FR</t>
  </si>
  <si>
    <t>Terminé</t>
  </si>
  <si>
    <t>direct</t>
  </si>
  <si>
    <t>Smartphone</t>
  </si>
  <si>
    <t>aa588d67cccf4d2bb8f808dd4fdad167</t>
  </si>
  <si>
    <t>Non-binaire</t>
  </si>
  <si>
    <t>35-44 ans</t>
  </si>
  <si>
    <t>En activité professionnelle</t>
  </si>
  <si>
    <t>Appartement</t>
  </si>
  <si>
    <t>25720</t>
  </si>
  <si>
    <t>Proche du centre</t>
  </si>
  <si>
    <t>Oui</t>
  </si>
  <si>
    <t>Préoccupations environnementales;Réduire l'accumulation d'objets</t>
  </si>
  <si>
    <t>Oui , avec certaines conditions</t>
  </si>
  <si>
    <t>Cuisine</t>
  </si>
  <si>
    <t>Non, jamais</t>
  </si>
  <si>
    <t>Non, je ne souhaiterai pas payer de cotisation</t>
  </si>
  <si>
    <t>10€</t>
  </si>
  <si>
    <t>Disponibilité des objets;Facilité de réservation et d'emprunt;Prix abordable</t>
  </si>
  <si>
    <t>Je souhaite être informé(e) des prochaines étapes</t>
  </si>
  <si>
    <t>Thibault Aubertin</t>
  </si>
  <si>
    <t>aubertin.thibault@gmail.com</t>
  </si>
  <si>
    <t>8CLM-Y3Q4</t>
  </si>
  <si>
    <t>07/04/2025 22:27:04</t>
  </si>
  <si>
    <t>07/04/2025 22:31:38</t>
  </si>
  <si>
    <t>FR</t>
  </si>
  <si>
    <t>Terminé</t>
  </si>
  <si>
    <t>direct</t>
  </si>
  <si>
    <t>PC</t>
  </si>
  <si>
    <t>aa588d67cccf4d2bb8f808dd4fdad167</t>
  </si>
  <si>
    <t>Femme</t>
  </si>
  <si>
    <t>En activité professionnelle</t>
  </si>
  <si>
    <t>Maison</t>
  </si>
  <si>
    <t>25000</t>
  </si>
  <si>
    <t>Centre</t>
  </si>
  <si>
    <t>Oui</t>
  </si>
  <si>
    <t>Manque d'espace de stockage;Contraintes budgétaires;Préoccupations environnementales;Réduire l'accumulation d'objets</t>
  </si>
  <si>
    <t>Oui , avec certaines conditions</t>
  </si>
  <si>
    <t>Camping / Randonnée</t>
  </si>
  <si>
    <t>Non, jamais</t>
  </si>
  <si>
    <t>Non, je ne souhaiterai pas payer de cotisation</t>
  </si>
  <si>
    <t>10€</t>
  </si>
  <si>
    <t>Disponibilité des objets;Facilité de réservation et d'emprunt;Prix abordable</t>
  </si>
  <si>
    <t>Je souhaite être informé(e) des prochaines étapes</t>
  </si>
  <si>
    <t>molherat caroline</t>
  </si>
  <si>
    <t>molheratcaroline@yahoo.fr</t>
  </si>
  <si>
    <t>YVWD-3ASA</t>
  </si>
  <si>
    <t>15/04/2025 18:57:08</t>
  </si>
  <si>
    <t>15/04/2025 19:01:18</t>
  </si>
  <si>
    <t>FR</t>
  </si>
  <si>
    <t>Terminé</t>
  </si>
  <si>
    <t>direct</t>
  </si>
  <si>
    <t>PC</t>
  </si>
  <si>
    <t>aa588d67cccf4d2bb8f808dd4fdad167</t>
  </si>
  <si>
    <t>Femme</t>
  </si>
  <si>
    <t>45-54 ans</t>
  </si>
  <si>
    <t>En activité professionnelle</t>
  </si>
  <si>
    <t>Appartement</t>
  </si>
  <si>
    <t>25000</t>
  </si>
  <si>
    <t>Oui</t>
  </si>
  <si>
    <t>Manque d'espace de stockage;Contraintes budgétaires;Préoccupations environnementales;Envie de partager des compétences;Réduire l'accumulation d'objets;Éviter les frais d'entretien</t>
  </si>
  <si>
    <t>Non , je souhaite uniquement emprunter</t>
  </si>
  <si>
    <t>Oui, occasionnellement</t>
  </si>
  <si>
    <t>Non, je ne souhaiterai pas payer de cotisation</t>
  </si>
  <si>
    <t>10€</t>
  </si>
  <si>
    <t>Facilité de réservation et d'emprunt;Prix abordable;Durée de prêt flexible;Support et explications d'utilisation</t>
  </si>
  <si>
    <t>Je souhaite être informé(e) des prochaines étapes</t>
  </si>
  <si>
    <t>Humbett Alice</t>
  </si>
  <si>
    <t>Alice.humbert1@orange.fr</t>
  </si>
  <si>
    <t>06 84 77 64 63</t>
  </si>
  <si>
    <t>EW34-K8LY</t>
  </si>
  <si>
    <t>15/04/2025 19:41:24</t>
  </si>
  <si>
    <t>15/04/2025 19:44:43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</si>
  <si>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</si>
  <si>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</si>
  <si>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</si>
  <si>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</si>
  <si>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</si>
  <si>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</si>
  <si>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</si>
  <si>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</si>
  <si>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Maison</t>
  </si>
  <si>
    <t>25870</t>
  </si>
  <si>
    <t>Zone rurale</t>
  </si>
  <si>
    <t>Oui</t>
  </si>
  <si>
    <t>Contraintes budgétaires;Préoccupations environnementales;Réduire l'accumulation d'objets</t>
  </si>
  <si>
    <t>Oui , avec certaines conditions</t>
  </si>
  <si>
    <t>Jeux extérieurs</t>
  </si>
  <si>
    <t>Non, jamais</t>
  </si>
  <si>
    <t>Non, je ne souhaiterai pas payer de cotisation</t>
  </si>
  <si>
    <t>10€</t>
  </si>
  <si>
    <t>Disponibilité des objets;Facilité de réservation et d'emprunt;Prix abordable;Durée de prêt flexible;Support et explications d'utilisation</t>
  </si>
  <si>
    <t>Je souhaite être informé(e) des prochaines étapes</t>
  </si>
  <si>
    <t>Charmoille Désirée</t>
  </si>
  <si>
    <t>charmoilledesiree@yahoo.fr</t>
  </si>
  <si>
    <t>W4K5-6DN9</t>
  </si>
  <si>
    <t>15/04/2025 21:12:24</t>
  </si>
  <si>
    <t>15/04/2025 21:17:56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</si>
  <si>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</si>
  <si>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</si>
  <si>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</si>
  <si>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</si>
  <si>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</si>
  <si>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</si>
  <si>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</si>
  <si>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</si>
  <si>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Maison</t>
  </si>
  <si>
    <t>25000</t>
  </si>
  <si>
    <t>Proche du centre</t>
  </si>
  <si>
    <t>Oui</t>
  </si>
  <si>
    <t>Manque d'espace de stockage;Contraintes budgétaires;Préoccupations environnementales;Envie de partager des compétences;Réduire l'accumulation d'objets</t>
  </si>
  <si>
    <t>Oui , avec certaines conditions</t>
  </si>
  <si>
    <t>Non, jamais</t>
  </si>
  <si>
    <t>10€</t>
  </si>
  <si>
    <t>Facilité de réservation et d'emprunt;Prix abordable;Durée de prêt flexible</t>
  </si>
  <si>
    <t>Je souhaite être informé(e) des prochaines étapes</t>
  </si>
  <si>
    <t>Chazal Anne-Cécile</t>
  </si>
  <si>
    <t>chazalannececile@gmail.com</t>
  </si>
  <si>
    <t>SR6L-FV73</t>
  </si>
  <si>
    <t>15/04/2025 21:43:59</t>
  </si>
  <si>
    <t>15/04/2025 21:47:18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</si>
  <si>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</si>
  <si>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</si>
  <si>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</si>
  <si>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</si>
  <si>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</si>
  <si>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</si>
  <si>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</si>
  <si>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</si>
  <si>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Appartement</t>
  </si>
  <si>
    <t>25000</t>
  </si>
  <si>
    <t>Proche du centre</t>
  </si>
  <si>
    <t>Oui</t>
  </si>
  <si>
    <t>Contraintes budgétaires;Préoccupations environnementales;Réduire l'accumulation d'objets</t>
  </si>
  <si>
    <t>Oui , avec certaines conditions</t>
  </si>
  <si>
    <t>Non, jamais</t>
  </si>
  <si>
    <t>Non, je ne souhaiterai pas payer de cotisation</t>
  </si>
  <si>
    <t>10€</t>
  </si>
  <si>
    <t>Disponibilité des objets;Facilité de réservation et d'emprunt;Prix abordable</t>
  </si>
  <si>
    <t>Je souhaite être informé(e) des prochaines étapes</t>
  </si>
  <si>
    <t>THIEBAUD AURELIE</t>
  </si>
  <si>
    <t>aurelie.thiebaud@yahoo.fr</t>
  </si>
  <si>
    <t>0667427026</t>
  </si>
  <si>
    <t>W7Q7-ZGU7</t>
  </si>
  <si>
    <t>18/04/2025 09:33:09</t>
  </si>
  <si>
    <t>18/04/2025 09:36:14</t>
  </si>
  <si>
    <t>FR</t>
  </si>
  <si>
    <t>Terminé</t>
  </si>
  <si>
    <t>direct</t>
  </si>
  <si>
    <t>PC</t>
  </si>
  <si>
    <t>aa588d67cccf4d2bb8f808dd4fdad167</t>
  </si>
  <si>
    <t>Homme</t>
  </si>
  <si>
    <t>35-44 ans</t>
  </si>
  <si>
    <t>En activité professionnelle</t>
  </si>
  <si>
    <t>Maison</t>
  </si>
  <si>
    <t>25660</t>
  </si>
  <si>
    <t>Périphérie</t>
  </si>
  <si>
    <t>Oui</t>
  </si>
  <si>
    <t>Contraintes budgétaires;Préoccupations environnementales;Envie de partager des compétences;Réduire l'accumulation d'objets</t>
  </si>
  <si>
    <t>Oui , avec certaines conditions</t>
  </si>
  <si>
    <t>Oui, occasionnellement</t>
  </si>
  <si>
    <t>Non, je ne souhaiterai pas payer de cotisation</t>
  </si>
  <si>
    <t>10€</t>
  </si>
  <si>
    <t>Facilité de réservation et d'emprunt;Prix abordable</t>
  </si>
  <si>
    <t>Je ne souhaite pas être tenu(e) informé</t>
  </si>
  <si>
    <t>WJHW-GMDA</t>
  </si>
  <si>
    <t>18/04/2025 14:30:15</t>
  </si>
  <si>
    <t>18/04/2025 14:32:37</t>
  </si>
  <si>
    <t>FR</t>
  </si>
  <si>
    <t>Terminé</t>
  </si>
  <si>
    <t>direct</t>
  </si>
  <si>
    <t>PC</t>
  </si>
  <si>
    <t>aa588d67cccf4d2bb8f808dd4fdad167</t>
  </si>
  <si>
    <t>Femme</t>
  </si>
  <si>
    <t>35-44 ans</t>
  </si>
  <si>
    <t>En activité professionnelle</t>
  </si>
  <si>
    <t>Appartement</t>
  </si>
  <si>
    <t>25000</t>
  </si>
  <si>
    <t>Hyper-centre</t>
  </si>
  <si>
    <t>Oui</t>
  </si>
  <si>
    <t>Manque d'espace de stockage;Préoccupations environnementales;Réduire l'accumulation d'objets</t>
  </si>
  <si>
    <t>Oui , avec certaines conditions</t>
  </si>
  <si>
    <t>Multimédia</t>
  </si>
  <si>
    <t>Oui, occasionnellement</t>
  </si>
  <si>
    <t>Non, je ne souhaiterai pas payer de cotisation</t>
  </si>
  <si>
    <t>10€</t>
  </si>
  <si>
    <t>Disponibilité des objets;Prix abordable</t>
  </si>
  <si>
    <t>Je souhaite être informé(e) des prochaines étapes</t>
  </si>
  <si>
    <t>Vouillot Cécile</t>
  </si>
  <si>
    <t>cecile.vouillot@gmail.com</t>
  </si>
  <si>
    <t>VCLA-ULC5</t>
  </si>
  <si>
    <t>20/04/2025 19:39:09</t>
  </si>
  <si>
    <t>20/04/2025 19:43:24</t>
  </si>
  <si>
    <t>FR</t>
  </si>
  <si>
    <t>Terminé</t>
  </si>
  <si>
    <t>direct</t>
  </si>
  <si>
    <t>PC</t>
  </si>
  <si>
    <t>aa588d67cccf4d2bb8f808dd4fdad167</t>
  </si>
  <si>
    <t>Homme</t>
  </si>
  <si>
    <t>35-44 ans</t>
  </si>
  <si>
    <t>En activité professionnelle</t>
  </si>
  <si>
    <t>Appartement</t>
  </si>
  <si>
    <t>25000</t>
  </si>
  <si>
    <t>Hyper-centre</t>
  </si>
  <si>
    <t>Peut-être</t>
  </si>
  <si>
    <t>Manque d'espace de stockage;Préoccupations environnementales;Envie de partager des compétences</t>
  </si>
  <si>
    <t>Non , je souhaite uniquement emprunter</t>
  </si>
  <si>
    <t>Oui, régulièrement</t>
  </si>
  <si>
    <t>Non, je ne souhaiterai pas payer de cotisation</t>
  </si>
  <si>
    <t>15€</t>
  </si>
  <si>
    <t>Disponibilité des objets;Facilité de réservation et d'emprunt;Autre :</t>
  </si>
  <si>
    <t>Qualité des outils et maintenance garantie, bon état de fonctionnement assuré (outils électriques / électroportatifs en particulier).</t>
  </si>
  <si>
    <t>Je souhaite être informé(e) des prochaines étapes</t>
  </si>
  <si>
    <t>Brand Xavier</t>
  </si>
  <si>
    <t>xavier.brand@free.fr</t>
  </si>
  <si>
    <t>UBAU-ZDCP</t>
  </si>
  <si>
    <t>22/04/2025 10:53:03</t>
  </si>
  <si>
    <t>22/04/2025 10:59:39</t>
  </si>
  <si>
    <t>FR</t>
  </si>
  <si>
    <t>Terminé</t>
  </si>
  <si>
    <t>direct</t>
  </si>
  <si>
    <t>PC</t>
  </si>
  <si>
    <t>aa588d67cccf4d2bb8f808dd4fdad167</t>
  </si>
  <si>
    <t>Homme</t>
  </si>
  <si>
    <t>Retraité(e)</t>
  </si>
  <si>
    <t>Appartement</t>
  </si>
  <si>
    <t>25000</t>
  </si>
  <si>
    <t>Centre</t>
  </si>
  <si>
    <t>Oui</t>
  </si>
  <si>
    <t>Préoccupations environnementales;Envie de partager des compétences;Réduire l'accumulation d'objets</t>
  </si>
  <si>
    <t>Oui , avec certaines conditions</t>
  </si>
  <si>
    <t>Ménage</t>
  </si>
  <si>
    <t>Oui, occasionnellement</t>
  </si>
  <si>
    <t>Non, je ne souhaiterai pas payer de cotisation</t>
  </si>
  <si>
    <t>10€</t>
  </si>
  <si>
    <t>Disponibilité des objets;Facilité de réservation et d'emprunt;Prix abordable;Durée de prêt flexible</t>
  </si>
  <si>
    <t>Je souhaite être informé(e) des prochaines étapes</t>
  </si>
  <si>
    <t>pierre corneloup</t>
  </si>
  <si>
    <t>piou25@laposte.net</t>
  </si>
  <si>
    <t>V4VM-2XT2</t>
  </si>
  <si>
    <t>03/05/2025 18:01:28</t>
  </si>
  <si>
    <t>03/05/2025 18:05:58</t>
  </si>
  <si>
    <t>FR</t>
  </si>
  <si>
    <t>Terminé</t>
  </si>
  <si>
    <t>direct</t>
  </si>
  <si>
    <t>PC</t>
  </si>
  <si>
    <t>aa588d67cccf4d2bb8f808dd4fdad167</t>
  </si>
  <si>
    <t>Homme</t>
  </si>
  <si>
    <t>45-54 ans</t>
  </si>
  <si>
    <t>En activité professionnelle</t>
  </si>
  <si>
    <t>Maison</t>
  </si>
  <si>
    <t>25000</t>
  </si>
  <si>
    <t>Proche du centre</t>
  </si>
  <si>
    <t>Oui</t>
  </si>
  <si>
    <t>Préoccupations environnementales;Réduire l'accumulation d'objets;Éviter les frais d'entretien</t>
  </si>
  <si>
    <t>Oui , avec certaines conditions</t>
  </si>
  <si>
    <t>Oui, occasionnellement</t>
  </si>
  <si>
    <t>10€</t>
  </si>
  <si>
    <t>Facilité de réservation et d'emprunt;Prix abordable</t>
  </si>
  <si>
    <t>Je souhaite être informé(e) des prochaines étapes</t>
  </si>
  <si>
    <t>Vincent Lecomte</t>
  </si>
  <si>
    <t>vincent25@zaclys.net</t>
  </si>
  <si>
    <t>DGR9-RJRU</t>
  </si>
  <si>
    <t>03/05/2025 19:48:57</t>
  </si>
  <si>
    <t>03/05/2025 19:53:41</t>
  </si>
  <si>
    <t>FR</t>
  </si>
  <si>
    <t>Terminé</t>
  </si>
  <si>
    <t>direct</t>
  </si>
  <si>
    <t>PC</t>
  </si>
  <si>
    <t>aa588d67cccf4d2bb8f808dd4fdad167</t>
  </si>
  <si>
    <t>Femme</t>
  </si>
  <si>
    <t>35-44 ans</t>
  </si>
  <si>
    <t>En activité professionnelle</t>
  </si>
  <si>
    <t>Appartement</t>
  </si>
  <si>
    <t>25000</t>
  </si>
  <si>
    <t>Centre</t>
  </si>
  <si>
    <t>Oui</t>
  </si>
  <si>
    <t>Manque d'espace de stockage;Contraintes budgétaires;Préoccupations environnementales;Envie de partager des compétences;Réduire l'accumulation d'objets;Éviter les frais d'entretien</t>
  </si>
  <si>
    <t>Oui , avec certaines conditions</t>
  </si>
  <si>
    <t>Animalerie</t>
  </si>
  <si>
    <t>Oui, occasionnellement</t>
  </si>
  <si>
    <t>Non, je ne souhaiterai pas payer de cotisation</t>
  </si>
  <si>
    <t>10€</t>
  </si>
  <si>
    <t>Disponibilité des objets;Facilité de réservation et d'emprunt;Prix abordable;Support et explications d'utilisation</t>
  </si>
  <si>
    <t>Je souhaite être informé(e) des prochaines étapes</t>
  </si>
  <si>
    <t>Geslin Marianne</t>
  </si>
  <si>
    <t>mariannegeslin@yahoo.com</t>
  </si>
  <si>
    <t>EHVJ-D3C7</t>
  </si>
  <si>
    <t>03/05/2025 21:23:26</t>
  </si>
  <si>
    <t>03/05/2025 21:26:29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</si>
  <si>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</si>
  <si>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</si>
  <si>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</si>
  <si>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</si>
  <si>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</si>
  <si>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</si>
  <si>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</si>
  <si>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</si>
  <si>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Maison</t>
  </si>
  <si>
    <t>25000</t>
  </si>
  <si>
    <t>Centre</t>
  </si>
  <si>
    <t>Peut-être</t>
  </si>
  <si>
    <t>Préoccupations environnementales;Réduire l'accumulation d'objets;Éviter les frais d'entretien</t>
  </si>
  <si>
    <t>Non , je souhaite uniquement emprunter</t>
  </si>
  <si>
    <t>Oui, occasionnellement</t>
  </si>
  <si>
    <t>15€</t>
  </si>
  <si>
    <t>Disponibilité des objets;Facilité de réservation et d'emprunt;Prix abordable;Durée de prêt flexible;Support et explications d'utilisation</t>
  </si>
  <si>
    <t>Je ne souhaite pas être tenu(e) informé</t>
  </si>
  <si>
    <t>Y9JB-F93P</t>
  </si>
  <si>
    <t>04/05/2025 13:39:02</t>
  </si>
  <si>
    <t>04/05/2025 13:41:47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</si>
  <si>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</si>
  <si>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</si>
  <si>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</si>
  <si>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</si>
  <si>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</si>
  <si>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</si>
  <si>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</si>
  <si>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</si>
  <si>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Maison</t>
  </si>
  <si>
    <t>25000</t>
  </si>
  <si>
    <t>Proche du centre</t>
  </si>
  <si>
    <t>Oui</t>
  </si>
  <si>
    <t>Préoccupations environnementales;Réduire l'accumulation d'objets</t>
  </si>
  <si>
    <t>Oui , avec certaines conditions</t>
  </si>
  <si>
    <t>Oui, occasionnellement</t>
  </si>
  <si>
    <t>10€</t>
  </si>
  <si>
    <t>Facilité de réservation et d'emprunt;Durée de prêt flexible</t>
  </si>
  <si>
    <t>Je ne souhaite pas être tenu(e) informé</t>
  </si>
  <si>
    <t>9VD9-NJMS</t>
  </si>
  <si>
    <t>04/05/2025 21:01:15</t>
  </si>
  <si>
    <t>04/05/2025 21:11:41</t>
  </si>
  <si>
    <t>FR</t>
  </si>
  <si>
    <t>Terminé</t>
  </si>
  <si>
    <t>direct</t>
  </si>
  <si>
    <t>PC</t>
  </si>
  <si>
    <t>aa588d67cccf4d2bb8f808dd4fdad167</t>
  </si>
  <si>
    <t>Femme</t>
  </si>
  <si>
    <t>35-44 ans</t>
  </si>
  <si>
    <t>En activité professionnelle</t>
  </si>
  <si>
    <t>Appartement</t>
  </si>
  <si>
    <t>25000</t>
  </si>
  <si>
    <t>Proche du centre</t>
  </si>
  <si>
    <t>Oui</t>
  </si>
  <si>
    <t>Manque d'espace de stockage;Préoccupations environnementales;Réduire l'accumulation d'objets</t>
  </si>
  <si>
    <t>Oui , sans condition particulière</t>
  </si>
  <si>
    <t>Jardinage</t>
  </si>
  <si>
    <t>Non, jamais</t>
  </si>
  <si>
    <t>Non, je ne souhaiterai pas payer de cotisation</t>
  </si>
  <si>
    <t>10€</t>
  </si>
  <si>
    <t>Facilité de réservation et d'emprunt;Support et explications d'utilisation</t>
  </si>
  <si>
    <t>Je souhaite être informé(e) des prochaines étapes</t>
  </si>
  <si>
    <t>Ludivine Petit</t>
  </si>
  <si>
    <t>luludivinepetit@yahoo.fr</t>
  </si>
  <si>
    <t>0682413213</t>
  </si>
  <si>
    <t>GUGF-FGQZ</t>
  </si>
  <si>
    <t>04/05/2025 21:37:45</t>
  </si>
  <si>
    <t>04/05/2025 21:44:28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</si>
  <si>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</si>
  <si>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</si>
  <si>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</si>
  <si>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</si>
  <si>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</si>
  <si>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</si>
  <si>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</si>
  <si>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</si>
  <si>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Appartement</t>
  </si>
  <si>
    <t>25000</t>
  </si>
  <si>
    <t>Proche du centre</t>
  </si>
  <si>
    <t>Oui</t>
  </si>
  <si>
    <t>Préoccupations environnementales;Réduire l'accumulation d'objets</t>
  </si>
  <si>
    <t>Oui , sans condition particulière</t>
  </si>
  <si>
    <t>Non, jamais</t>
  </si>
  <si>
    <t>Non, je ne souhaiterai pas payer de cotisation</t>
  </si>
  <si>
    <t>5€</t>
  </si>
  <si>
    <t>Facilité de réservation et d'emprunt;Prix abordable</t>
  </si>
  <si>
    <t>Je souhaite être informé(e) des prochaines étapes</t>
  </si>
  <si>
    <t>Maillard-Salin Coline</t>
  </si>
  <si>
    <t>Maillardsalin.c@gmail.com</t>
  </si>
  <si>
    <t>0660570106</t>
  </si>
  <si>
    <t>YCH9-2CS6</t>
  </si>
  <si>
    <t>04/05/2025 21:53:57</t>
  </si>
  <si>
    <t>04/05/2025 22:01:04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</si>
  <si>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</si>
  <si>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</si>
  <si>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</si>
  <si>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</si>
  <si>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</si>
  <si>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</si>
  <si>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</si>
  <si>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</si>
  <si>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Appartement</t>
  </si>
  <si>
    <t>90300</t>
  </si>
  <si>
    <t>Proche du centre</t>
  </si>
  <si>
    <t>Oui</t>
  </si>
  <si>
    <t>Réduire l'accumulation d'objets</t>
  </si>
  <si>
    <t>Oui , sans condition particulière</t>
  </si>
  <si>
    <t>Puériculture</t>
  </si>
  <si>
    <t>Non, jamais</t>
  </si>
  <si>
    <t>5€</t>
  </si>
  <si>
    <t>Facilité de réservation et d'emprunt;Prix abordable;Durée de prêt flexible;Support et explications d'utilisation</t>
  </si>
  <si>
    <t>Je ne souhaite pas être tenu(e) informé</t>
  </si>
  <si>
    <t>ZWQQ-L7XK</t>
  </si>
  <si>
    <t>05/05/2025 11:23:04</t>
  </si>
  <si>
    <t>05/05/2025 11:24:54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</si>
  <si>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</si>
  <si>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</si>
  <si>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</si>
  <si>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</si>
  <si>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</si>
  <si>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</si>
  <si>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</si>
  <si>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</si>
  <si>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Appartement</t>
  </si>
  <si>
    <t>90000</t>
  </si>
  <si>
    <t>Centre</t>
  </si>
  <si>
    <t>Peut-être</t>
  </si>
  <si>
    <t>Contraintes budgétaires</t>
  </si>
  <si>
    <t>Non , je souhaite uniquement emprunter</t>
  </si>
  <si>
    <t>Oui, occasionnellement</t>
  </si>
  <si>
    <t>5€</t>
  </si>
  <si>
    <t>Facilité de réservation et d'emprunt</t>
  </si>
  <si>
    <t>Je ne souhaite pas être tenu(e) informé</t>
  </si>
  <si>
    <t>8AGF-E7AK</t>
  </si>
  <si>
    <t>05/05/2025 11:25:16</t>
  </si>
  <si>
    <t>05/05/2025 11:26:55</t>
  </si>
  <si>
    <t>FR</t>
  </si>
  <si>
    <t>Terminé</t>
  </si>
  <si>
    <t>direct</t>
  </si>
  <si>
    <t>Tablette</t>
  </si>
  <si>
    <t>aa588d67cccf4d2bb8f808dd4fdad167</t>
  </si>
  <si>
    <t>Femme</t>
  </si>
  <si>
    <t>18-24 ans</t>
  </si>
  <si>
    <t>Étudiant(e)</t>
  </si>
  <si>
    <t>Appartement</t>
  </si>
  <si>
    <t>90000</t>
  </si>
  <si>
    <t>Proche du centre</t>
  </si>
  <si>
    <t>Non</t>
  </si>
  <si>
    <t>Réduire l'accumulation d'objets</t>
  </si>
  <si>
    <t>Non , je souhaite uniquement emprunter</t>
  </si>
  <si>
    <t>Non, jamais</t>
  </si>
  <si>
    <t>20</t>
  </si>
  <si>
    <t>Facilité de réservation et d'emprunt;Prix abordable;Support et explications d'utilisation</t>
  </si>
  <si>
    <t>Je ne souhaite pas être tenu(e) informé</t>
  </si>
  <si>
    <t>2B6Q-7M2L</t>
  </si>
  <si>
    <t>05/05/2025 11:24:07</t>
  </si>
  <si>
    <t>05/05/2025 11:26:59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</si>
  <si>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</si>
  <si>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</si>
  <si>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</si>
  <si>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</si>
  <si>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</si>
  <si>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</si>
  <si>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</si>
  <si>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</si>
  <si>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Appartement</t>
  </si>
  <si>
    <t>90000</t>
  </si>
  <si>
    <t>Zone rurale</t>
  </si>
  <si>
    <t>Non</t>
  </si>
  <si>
    <t>Contraintes budgétaires</t>
  </si>
  <si>
    <t>Non , je souhaite uniquement emprunter</t>
  </si>
  <si>
    <t>Oui, occasionnellement</t>
  </si>
  <si>
    <t>20</t>
  </si>
  <si>
    <t>Disponibilité des objets;Facilité de réservation et d'emprunt;Prix abordable</t>
  </si>
  <si>
    <t>Je ne souhaite pas être tenu(e) informé</t>
  </si>
  <si>
    <t>K4SW-7NAP</t>
  </si>
  <si>
    <t>05/05/2025 11:25:21</t>
  </si>
  <si>
    <t>05/05/2025 11:27:10</t>
  </si>
  <si>
    <t>FR</t>
  </si>
  <si>
    <t>Terminé</t>
  </si>
  <si>
    <t>direct</t>
  </si>
  <si>
    <t>Smartphone</t>
  </si>
  <si>
    <t>aa588d67cccf4d2bb8f808dd4fdad167</t>
  </si>
  <si>
    <t>Homme</t>
  </si>
  <si>
    <t>18-24 ans</t>
  </si>
  <si>
    <t>Étudiant(e)</t>
  </si>
  <si>
    <t>Appartement</t>
  </si>
  <si>
    <t>90000</t>
  </si>
  <si>
    <t>Proche du centre</t>
  </si>
  <si>
    <t>Non</t>
  </si>
  <si>
    <t>Manque d'espace de stockage</t>
  </si>
  <si>
    <t>Oui , sans condition particulière</t>
  </si>
  <si>
    <t>Matériel sportif</t>
  </si>
  <si>
    <t>Non, jamais</t>
  </si>
  <si>
    <t>5€</t>
  </si>
  <si>
    <t>Prix abordable</t>
  </si>
  <si>
    <t>Je ne souhaite pas être tenu(e) informé</t>
  </si>
  <si>
    <t>J7P5-YA7V</t>
  </si>
  <si>
    <t>05/05/2025 11:25:28</t>
  </si>
  <si>
    <t>05/05/2025 11:27:28</t>
  </si>
  <si>
    <t>FR</t>
  </si>
  <si>
    <t>Terminé</t>
  </si>
  <si>
    <t>direct</t>
  </si>
  <si>
    <t>Smartphone</t>
  </si>
  <si>
    <t>Femme</t>
  </si>
  <si>
    <t>18-24 ans</t>
  </si>
  <si>
    <t>Étudiant(e)</t>
  </si>
  <si>
    <t>Maison</t>
  </si>
  <si>
    <t>90340</t>
  </si>
  <si>
    <t>Périphérie</t>
  </si>
  <si>
    <t>Non</t>
  </si>
  <si>
    <t>Contraintes budgétaires;Préoccupations environnementales;Réduire l'accumulation d'objets</t>
  </si>
  <si>
    <t>Oui , sans condition particulière</t>
  </si>
  <si>
    <t>Non, jamais</t>
  </si>
  <si>
    <t>Non, je ne souhaiterai pas payer de cotisation</t>
  </si>
  <si>
    <t>10€</t>
  </si>
  <si>
    <t>Disponibilité des objets;Prix abordable;Durée de prêt flexible</t>
  </si>
  <si>
    <t>Je ne souhaite pas être tenu(e) informé</t>
  </si>
  <si>
    <t>D429-LRX3</t>
  </si>
  <si>
    <t>05/05/2025 11:25:55</t>
  </si>
  <si>
    <t>05/05/2025 11:28:00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</si>
  <si>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</si>
  <si>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</si>
  <si>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</si>
  <si>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</si>
  <si>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</si>
  <si>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</si>
  <si>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</si>
  <si>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</si>
  <si>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Appartement</t>
  </si>
  <si>
    <t>9000</t>
  </si>
  <si>
    <t>Proche du centre</t>
  </si>
  <si>
    <t>Oui</t>
  </si>
  <si>
    <t>Manque d'espace de stockage;Contraintes budgétaires;Préoccupations environnementales;Réduire l'accumulation d'objets;Éviter les frais d'entretien</t>
  </si>
  <si>
    <t>Oui , sans condition particulière</t>
  </si>
  <si>
    <t>Bagagerie</t>
  </si>
  <si>
    <t>Non, jamais</t>
  </si>
  <si>
    <t>Non, je ne souhaiterai pas payer de cotisation</t>
  </si>
  <si>
    <t>10€</t>
  </si>
  <si>
    <t>Disponibilité des objets</t>
  </si>
  <si>
    <t>Je ne souhaite pas être tenu(e) informé</t>
  </si>
  <si>
    <t>7ZCD-YGQ2</t>
  </si>
  <si>
    <t>05/05/2025 11:28:10</t>
  </si>
  <si>
    <t>05/05/2025 11:31:01</t>
  </si>
  <si>
    <t>FR</t>
  </si>
  <si>
    <t>Terminé</t>
  </si>
  <si>
    <t>direct</t>
  </si>
  <si>
    <t>Smartphone</t>
  </si>
  <si>
    <t>aa588d67cccf4d2bb8f808dd4fdad167</t>
  </si>
  <si>
    <t>Homme</t>
  </si>
  <si>
    <t>18-24 ans</t>
  </si>
  <si>
    <t>Étudiant(e)</t>
  </si>
  <si>
    <t>Appartement</t>
  </si>
  <si>
    <t>90000</t>
  </si>
  <si>
    <t>Proche du centre</t>
  </si>
  <si>
    <t>Non</t>
  </si>
  <si>
    <t>Autre :</t>
  </si>
  <si>
    <t>Essayer des objets sans avoir besoin de les acheter</t>
  </si>
  <si>
    <t>Non , je souhaite uniquement emprunter</t>
  </si>
  <si>
    <t>Non, jamais</t>
  </si>
  <si>
    <t>5€</t>
  </si>
  <si>
    <t>Disponibilité des objets;Facilité de réservation et d'emprunt;Prix abordable;Durée de prêt flexible</t>
  </si>
  <si>
    <t>Je ne souhaite pas être tenu(e) informé</t>
  </si>
  <si>
    <t>DLRB-3JQE</t>
  </si>
  <si>
    <t>05/05/2025 11:33:34</t>
  </si>
  <si>
    <t>05/05/2025 11:36:17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</si>
  <si>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</si>
  <si>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</si>
  <si>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</si>
  <si>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</si>
  <si>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</si>
  <si>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</si>
  <si>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</si>
  <si>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</si>
  <si>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</si>
  <si>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68720</t>
  </si>
  <si>
    <t>Proche du centre</t>
  </si>
  <si>
    <t>Oui</t>
  </si>
  <si>
    <t>Manque d'espace de stockage;Préoccupations environnementales;Envie de partager des compétences;Réduire l'accumulation d'objets;Éviter les frais d'entretien</t>
  </si>
  <si>
    <t>Non , je souhaite uniquement emprunter</t>
  </si>
  <si>
    <t>Oui, régulièrement</t>
  </si>
  <si>
    <t>Non, je ne souhaiterai pas payer de cotisation</t>
  </si>
  <si>
    <t>10€</t>
  </si>
  <si>
    <t>Prix abordable</t>
  </si>
  <si>
    <t>Je souhaite être informé(e) des prochaines étapes</t>
  </si>
  <si>
    <t>KHIDER SATAH</t>
  </si>
  <si>
    <t>FR5Y-PZMB</t>
  </si>
  <si>
    <t>05/05/2025 11:37:25</t>
  </si>
  <si>
    <t>05/05/2025 11:38:36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</si>
  <si>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</si>
  <si>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</si>
  <si>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</si>
  <si>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</si>
  <si>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</si>
  <si>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</si>
  <si>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</si>
  <si>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</si>
  <si>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</si>
  <si>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90000</t>
  </si>
  <si>
    <t>Proche du centre</t>
  </si>
  <si>
    <t>Peut-être</t>
  </si>
  <si>
    <t>Manque d'espace de stockage;Envie de partager des compétences;Réduire l'accumulation d'objets</t>
  </si>
  <si>
    <t>Oui , avec certaines conditions</t>
  </si>
  <si>
    <t>Evènements &amp; fêtes</t>
  </si>
  <si>
    <t>Non, jamais</t>
  </si>
  <si>
    <t>Non, je ne souhaiterai pas payer de cotisation</t>
  </si>
  <si>
    <t>10€</t>
  </si>
  <si>
    <t>Disponibilité des objets;Facilité de réservation et d'emprunt;Prix abordable;Durée de prêt flexible</t>
  </si>
  <si>
    <t>Je souhaite être informé(e) des prochaines étapes</t>
  </si>
  <si>
    <t>Jaber Jana</t>
  </si>
  <si>
    <t>Jbrjanaa@gmail.com</t>
  </si>
  <si>
    <t>07.83.40.78.17</t>
  </si>
  <si>
    <t>HC6D-8FQH</t>
  </si>
  <si>
    <t>05/05/2025 11:40:57</t>
  </si>
  <si>
    <t>05/05/2025 11:43:15</t>
  </si>
  <si>
    <t>FR</t>
  </si>
  <si>
    <t>Terminé</t>
  </si>
  <si>
    <t>direct</t>
  </si>
  <si>
    <t>Smartphone</t>
  </si>
  <si>
    <t>aa588d67cccf4d2bb8f808dd4fdad167</t>
  </si>
  <si>
    <t>Homme</t>
  </si>
  <si>
    <t>18-24 ans</t>
  </si>
  <si>
    <t>Étudiant(e)</t>
  </si>
  <si>
    <t>Appartement</t>
  </si>
  <si>
    <t>25200</t>
  </si>
  <si>
    <t>Proche du centre</t>
  </si>
  <si>
    <t>Oui</t>
  </si>
  <si>
    <t>Contraintes budgétaires;Réduire l'accumulation d'objets</t>
  </si>
  <si>
    <t>Oui , avec certaines conditions</t>
  </si>
  <si>
    <t>Non, jamais</t>
  </si>
  <si>
    <t>Non, je ne souhaiterai pas payer de cotisation</t>
  </si>
  <si>
    <t>10€</t>
  </si>
  <si>
    <t>Disponibilité des objets;Facilité de réservation et d'emprunt;Prix abordable</t>
  </si>
  <si>
    <t>Je ne souhaite pas être tenu(e) informé</t>
  </si>
  <si>
    <t>2GDB-7BWV</t>
  </si>
  <si>
    <t>05/05/2025 11:42:28</t>
  </si>
  <si>
    <t>05/05/2025 11:44:29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</si>
  <si>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</si>
  <si>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</si>
  <si>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</si>
  <si>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</si>
  <si>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</si>
  <si>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</si>
  <si>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</si>
  <si>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</si>
  <si>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</si>
  <si>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67230</t>
  </si>
  <si>
    <t>Proche du centre</t>
  </si>
  <si>
    <t>Non</t>
  </si>
  <si>
    <t>Contraintes budgétaires;Réduire l'accumulation d'objets</t>
  </si>
  <si>
    <t>Non , je souhaite uniquement emprunter</t>
  </si>
  <si>
    <t>Non, jamais</t>
  </si>
  <si>
    <t>20</t>
  </si>
  <si>
    <t>Disponibilité des objets;Facilité de réservation et d'emprunt;Prix abordable</t>
  </si>
  <si>
    <t>Je ne souhaite pas être tenu(e) informé</t>
  </si>
  <si>
    <t>JHUG-SRHH</t>
  </si>
  <si>
    <t>05/05/2025 11:51:46</t>
  </si>
  <si>
    <t>05/05/2025 11:54:11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</si>
  <si>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</si>
  <si>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</si>
  <si>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</si>
  <si>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</si>
  <si>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</si>
  <si>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</si>
  <si>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</si>
  <si>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</si>
  <si>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</si>
  <si>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25200</t>
  </si>
  <si>
    <t>Centre</t>
  </si>
  <si>
    <t>Non</t>
  </si>
  <si>
    <t>Réduire l'accumulation d'objets</t>
  </si>
  <si>
    <t>Non , je souhaite uniquement emprunter</t>
  </si>
  <si>
    <t>Non, jamais</t>
  </si>
  <si>
    <t>20</t>
  </si>
  <si>
    <t>Disponibilité des objets</t>
  </si>
  <si>
    <t>Je ne souhaite pas être tenu(e) informé</t>
  </si>
  <si>
    <t>H2TL-TR2D</t>
  </si>
  <si>
    <t>05/05/2025 11:53:41</t>
  </si>
  <si>
    <t>05/05/2025 11:55:24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</si>
  <si>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</si>
  <si>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</si>
  <si>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</si>
  <si>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</si>
  <si>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</si>
  <si>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</si>
  <si>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</si>
  <si>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</si>
  <si>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</si>
  <si>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70400</t>
  </si>
  <si>
    <t>Proche du centre</t>
  </si>
  <si>
    <t>Oui</t>
  </si>
  <si>
    <t>Manque d'espace de stockage;Contraintes budgétaires;Réduire l'accumulation d'objets;Éviter les frais d'entretien</t>
  </si>
  <si>
    <t>Oui , sans condition particulière</t>
  </si>
  <si>
    <t>Non, jamais</t>
  </si>
  <si>
    <t>Non, je ne souhaiterai pas payer de cotisation</t>
  </si>
  <si>
    <t>10€</t>
  </si>
  <si>
    <t>Disponibilité des objets;Facilité de réservation et d'emprunt;Prix abordable;Support et explications d'utilisation</t>
  </si>
  <si>
    <t>Je ne souhaite pas être tenu(e) informé</t>
  </si>
  <si>
    <t>2CSW-KSPA</t>
  </si>
  <si>
    <t>05/05/2025 12:42:25</t>
  </si>
  <si>
    <t>05/05/2025 12:47:27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</si>
  <si>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</si>
  <si>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</si>
  <si>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</si>
  <si>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</si>
  <si>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</si>
  <si>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</si>
  <si>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</si>
  <si>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</si>
  <si>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Appartement</t>
  </si>
  <si>
    <t>25200</t>
  </si>
  <si>
    <t>Proche du centre</t>
  </si>
  <si>
    <t>Peut-être</t>
  </si>
  <si>
    <t>Réduire l'accumulation d'objets</t>
  </si>
  <si>
    <t>Non , je souhaite uniquement emprunter</t>
  </si>
  <si>
    <t>Oui, occasionnellement</t>
  </si>
  <si>
    <t>15€</t>
  </si>
  <si>
    <t>Disponibilité des objets;Facilité de réservation et d'emprunt</t>
  </si>
  <si>
    <t>Je ne souhaite pas être tenu(e) informé</t>
  </si>
  <si>
    <t>TVYR-R5WY</t>
  </si>
  <si>
    <t>05/05/2025 13:02:56</t>
  </si>
  <si>
    <t>05/05/2025 13:05:26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</si>
  <si>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</si>
  <si>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</si>
  <si>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</si>
  <si>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</si>
  <si>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</si>
  <si>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</si>
  <si>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</si>
  <si>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</si>
  <si>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Appartement</t>
  </si>
  <si>
    <t>90000</t>
  </si>
  <si>
    <t>Proche du centre</t>
  </si>
  <si>
    <t>Oui</t>
  </si>
  <si>
    <t>Contraintes budgétaires</t>
  </si>
  <si>
    <t>Non , je souhaite uniquement emprunter</t>
  </si>
  <si>
    <t>Non, jamais</t>
  </si>
  <si>
    <t>Non, je ne souhaiterai pas payer de cotisation</t>
  </si>
  <si>
    <t>20</t>
  </si>
  <si>
    <t>Disponibilité des objets;Facilité de réservation et d'emprunt;Prix abordable;Durée de prêt flexible;Support et explications d'utilisation</t>
  </si>
  <si>
    <t>Je souhaite être informé(e) des prochaines étapes</t>
  </si>
  <si>
    <t>LAUGEL Maceo</t>
  </si>
  <si>
    <t>maceo.laugel@gmail.com</t>
  </si>
  <si>
    <t>06 76 37 19 37</t>
  </si>
  <si>
    <t>KNPF-HXBU</t>
  </si>
  <si>
    <t>05/05/2025 13:22:26</t>
  </si>
  <si>
    <t>05/05/2025 13:31:13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</si>
  <si>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</si>
  <si>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</si>
  <si>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</si>
  <si>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</si>
  <si>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</si>
  <si>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</si>
  <si>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</si>
  <si>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</si>
  <si>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</si>
  <si>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25400</t>
  </si>
  <si>
    <t>Proche du centre</t>
  </si>
  <si>
    <t>Peut-être</t>
  </si>
  <si>
    <t>Contraintes budgétaires;Réduire l'accumulation d'objets;Éviter les frais d'entretien</t>
  </si>
  <si>
    <t>Non , je souhaite uniquement emprunter</t>
  </si>
  <si>
    <t>Oui, occasionnellement</t>
  </si>
  <si>
    <t>10€</t>
  </si>
  <si>
    <t>Disponibilité des objets;Facilité de réservation et d'emprunt;Prix abordable</t>
  </si>
  <si>
    <t>Je ne souhaite pas être tenu(e) informé</t>
  </si>
  <si>
    <t>NV9R-FMN2</t>
  </si>
  <si>
    <t>05/05/2025 16:25:17</t>
  </si>
  <si>
    <t>05/05/2025 16:27:11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</si>
  <si>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</si>
  <si>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</si>
  <si>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</si>
  <si>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</si>
  <si>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</si>
  <si>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</si>
  <si>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</si>
  <si>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</si>
  <si>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Maison</t>
  </si>
  <si>
    <t>25230</t>
  </si>
  <si>
    <t>Zone rurale</t>
  </si>
  <si>
    <t>Peut-être</t>
  </si>
  <si>
    <t>Contraintes budgétaires;Réduire l'accumulation d'objets</t>
  </si>
  <si>
    <t>Oui , avec certaines conditions</t>
  </si>
  <si>
    <t>Matériel médical</t>
  </si>
  <si>
    <t>Oui, occasionnellement</t>
  </si>
  <si>
    <t>Non, je ne souhaiterai pas payer de cotisation</t>
  </si>
  <si>
    <t>10€</t>
  </si>
  <si>
    <t>Disponibilité des objets;Facilité de réservation et d'emprunt;Prix abordable;Durée de prêt flexible</t>
  </si>
  <si>
    <t>Je ne souhaite pas être tenu(e) informé</t>
  </si>
  <si>
    <t>YLVD-BDNT</t>
  </si>
  <si>
    <t>06/05/2025 08:20:44</t>
  </si>
  <si>
    <t>06/05/2025 08:22:53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</si>
  <si>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</si>
  <si>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</si>
  <si>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</si>
  <si>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</si>
  <si>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</si>
  <si>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</si>
  <si>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</si>
  <si>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</si>
  <si>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Maison</t>
  </si>
  <si>
    <t>68</t>
  </si>
  <si>
    <t>Centre</t>
  </si>
  <si>
    <t>Non</t>
  </si>
  <si>
    <t>Contraintes budgétaires</t>
  </si>
  <si>
    <t>Non , je souhaite uniquement emprunter</t>
  </si>
  <si>
    <t>Non, jamais</t>
  </si>
  <si>
    <t>5€</t>
  </si>
  <si>
    <t>Autre :</t>
  </si>
  <si>
    <t>Je ne souhaite pas être tenu(e) informé</t>
  </si>
  <si>
    <t>K9LW-QQZW</t>
  </si>
  <si>
    <t>06/05/2025 08:22:31</t>
  </si>
  <si>
    <t>06/05/2025 08:23:43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</si>
  <si>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</si>
  <si>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</si>
  <si>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</si>
  <si>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</si>
  <si>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</si>
  <si>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</si>
  <si>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</si>
  <si>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</si>
  <si>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Appartement</t>
  </si>
  <si>
    <t>9000</t>
  </si>
  <si>
    <t>Centre</t>
  </si>
  <si>
    <t>Non</t>
  </si>
  <si>
    <t>Éviter les frais d'entretien</t>
  </si>
  <si>
    <t>Non , je souhaite uniquement emprunter</t>
  </si>
  <si>
    <t>Non, jamais</t>
  </si>
  <si>
    <t>Autre :</t>
  </si>
  <si>
    <t>Prix abordable;Durée de prêt flexible</t>
  </si>
  <si>
    <t>Je ne souhaite pas être tenu(e) informé</t>
  </si>
  <si>
    <t>2DMX-UNQ8</t>
  </si>
  <si>
    <t>07/05/2025 14:18:05</t>
  </si>
  <si>
    <t>07/05/2025 14:21:39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</si>
  <si>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</si>
  <si>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</si>
  <si>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</si>
  <si>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</si>
  <si>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</si>
  <si>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</si>
  <si>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</si>
  <si>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</si>
  <si>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</si>
  <si>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25200</t>
  </si>
  <si>
    <t>Proche du centre</t>
  </si>
  <si>
    <t>Non</t>
  </si>
  <si>
    <t>Réduire l'accumulation d'objets</t>
  </si>
  <si>
    <t>Non , je souhaite uniquement emprunter</t>
  </si>
  <si>
    <t>Non, jamais</t>
  </si>
  <si>
    <t>15€</t>
  </si>
  <si>
    <t>Prix abordable</t>
  </si>
  <si>
    <t>Je ne souhaite pas être tenu(e) informé</t>
  </si>
  <si>
    <t>WAAY-FHSS</t>
  </si>
  <si>
    <t>07/05/2025 17:27:55</t>
  </si>
  <si>
    <t>07/05/2025 17:30:41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</si>
  <si>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</si>
  <si>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</si>
  <si>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</si>
  <si>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</si>
  <si>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</si>
  <si>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</si>
  <si>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</si>
  <si>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</si>
  <si>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</si>
  <si>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90000</t>
  </si>
  <si>
    <t>Périphérie</t>
  </si>
  <si>
    <t>Oui</t>
  </si>
  <si>
    <t>Manque d'espace de stockage</t>
  </si>
  <si>
    <t>Non , je souhaite uniquement emprunter</t>
  </si>
  <si>
    <t>Non, jamais</t>
  </si>
  <si>
    <t>Non, je ne souhaiterai pas payer de cotisation</t>
  </si>
  <si>
    <t>5€</t>
  </si>
  <si>
    <t>Durée de prêt flexible</t>
  </si>
  <si>
    <t>Je ne souhaite pas être tenu(e) informé</t>
  </si>
  <si>
    <t>J4UW-VUN3</t>
  </si>
  <si>
    <t>08/05/2025 14:08:00</t>
  </si>
  <si>
    <t>08/05/2025 14:13:35</t>
  </si>
  <si>
    <t>FR</t>
  </si>
  <si>
    <t>Terminé</t>
  </si>
  <si>
    <t>direct</t>
  </si>
  <si>
    <t>PC</t>
  </si>
  <si>
    <t>aa588d67cccf4d2bb8f808dd4fdad167</t>
  </si>
  <si>
    <t>Femme</t>
  </si>
  <si>
    <t>45-54 ans</t>
  </si>
  <si>
    <t>En activité professionnelle</t>
  </si>
  <si>
    <t>Appartement</t>
  </si>
  <si>
    <t>25000</t>
  </si>
  <si>
    <t>Centre</t>
  </si>
  <si>
    <t>Oui</t>
  </si>
  <si>
    <t>Préoccupations environnementales;Réduire l'accumulation d'objets</t>
  </si>
  <si>
    <t>Oui , sans condition particulière</t>
  </si>
  <si>
    <t>Non, jamais</t>
  </si>
  <si>
    <t>Non, je ne souhaiterai pas payer de cotisation</t>
  </si>
  <si>
    <t>10€</t>
  </si>
  <si>
    <t>Prix abordable;Support et explications d'utilisation</t>
  </si>
  <si>
    <t>Je souhaite être informé(e) des prochaines étapes</t>
  </si>
  <si>
    <t>jacquin carine</t>
  </si>
  <si>
    <t>carine.jacquin@yahoo.fr</t>
  </si>
  <si>
    <t>76GU-S2VJ</t>
  </si>
  <si>
    <t>08/05/2025 20:06:01</t>
  </si>
  <si>
    <t>08/05/2025 20:39:10</t>
  </si>
  <si>
    <t>FR</t>
  </si>
  <si>
    <t>Terminé</t>
  </si>
  <si>
    <t>direct</t>
  </si>
  <si>
    <t>PC</t>
  </si>
  <si>
    <t>aa588d67cccf4d2bb8f808dd4fdad167</t>
  </si>
  <si>
    <t>Femme</t>
  </si>
  <si>
    <t>45-54 ans</t>
  </si>
  <si>
    <t>En activité professionnelle</t>
  </si>
  <si>
    <t>Maison</t>
  </si>
  <si>
    <t>25000</t>
  </si>
  <si>
    <t>Proche du centre</t>
  </si>
  <si>
    <t>Oui</t>
  </si>
  <si>
    <t>Préoccupations environnementales;Envie de partager des compétences;Réduire l'accumulation d'objets</t>
  </si>
  <si>
    <t>Non , je souhaite uniquement emprunter</t>
  </si>
  <si>
    <t>Non, jamais</t>
  </si>
  <si>
    <t>Non, je ne souhaiterai pas payer de cotisation</t>
  </si>
  <si>
    <t>10€</t>
  </si>
  <si>
    <t>Facilité de réservation et d'emprunt;Prix abordable;Support et explications d'utilisation</t>
  </si>
  <si>
    <t>Je souhaite être informé(e) des prochaines étapes</t>
  </si>
  <si>
    <t>BELUCHE Emeline</t>
  </si>
  <si>
    <t>emeline.b@zaclys.net</t>
  </si>
  <si>
    <t>XEDV-MNUH</t>
  </si>
  <si>
    <t>09/05/2025 20:49:40</t>
  </si>
  <si>
    <t>09/05/2025 20:53:24</t>
  </si>
  <si>
    <t>FR</t>
  </si>
  <si>
    <t>Terminé</t>
  </si>
  <si>
    <t>direct</t>
  </si>
  <si>
    <t>PC</t>
  </si>
  <si>
    <t>aa588d67cccf4d2bb8f808dd4fdad167</t>
  </si>
  <si>
    <t>Homme</t>
  </si>
  <si>
    <t>35-44 ans</t>
  </si>
  <si>
    <t>En activité professionnelle</t>
  </si>
  <si>
    <t>Appartement</t>
  </si>
  <si>
    <t>25000</t>
  </si>
  <si>
    <t>Proche du centre</t>
  </si>
  <si>
    <t>Peut-être</t>
  </si>
  <si>
    <t>Manque d'espace de stockage;Préoccupations environnementales;Réduire l'accumulation d'objets</t>
  </si>
  <si>
    <t>Oui , avec certaines conditions</t>
  </si>
  <si>
    <t>Bricolage</t>
  </si>
  <si>
    <t>Non, jamais</t>
  </si>
  <si>
    <t>Non, je ne souhaiterai pas payer de cotisation</t>
  </si>
  <si>
    <t>10€</t>
  </si>
  <si>
    <t>Disponibilité des objets;Facilité de réservation et d'emprunt;Prix abordable</t>
  </si>
  <si>
    <t>Je ne souhaite pas être tenu(e) informé</t>
  </si>
  <si>
    <t>TQS3-4JED</t>
  </si>
  <si>
    <t>11/05/2025 16:29:02</t>
  </si>
  <si>
    <t>11/05/2025 16:31:58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</si>
  <si>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</si>
  <si>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</si>
  <si>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</si>
  <si>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</si>
  <si>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</si>
  <si>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</si>
  <si>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</si>
  <si>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</si>
  <si>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Appartement</t>
  </si>
  <si>
    <t>25200</t>
  </si>
  <si>
    <t>Périphérie</t>
  </si>
  <si>
    <t>Non</t>
  </si>
  <si>
    <t>Manque d'espace de stockage;Contraintes budgétaires;Éviter les frais d'entretien</t>
  </si>
  <si>
    <t>Non , je souhaite uniquement emprunter</t>
  </si>
  <si>
    <t>Oui, occasionnellement</t>
  </si>
  <si>
    <t>Non, je ne souhaiterai pas payer de cotisation</t>
  </si>
  <si>
    <t>5€</t>
  </si>
  <si>
    <t>Disponibilité des objets;Facilité de réservation et d'emprunt;Prix abordable</t>
  </si>
  <si>
    <t>Je ne souhaite pas être tenu(e) informé</t>
  </si>
  <si>
    <t>AZ4X-8332</t>
  </si>
  <si>
    <t>15/05/2025 16:14:23</t>
  </si>
  <si>
    <t>15/05/2025 16:16:08</t>
  </si>
  <si>
    <t>FR</t>
  </si>
  <si>
    <t>Terminé</t>
  </si>
  <si>
    <t>direct</t>
  </si>
  <si>
    <t>Smartphone</t>
  </si>
  <si>
    <t>aa588d67cccf4d2bb8f808dd4fdad167</t>
  </si>
  <si>
    <t>Femme</t>
  </si>
  <si>
    <t>65 ans et plus</t>
  </si>
  <si>
    <t>Retraité(e)</t>
  </si>
  <si>
    <t>Maison</t>
  </si>
  <si>
    <t>25870</t>
  </si>
  <si>
    <t>Zone rurale</t>
  </si>
  <si>
    <t>Peut-être</t>
  </si>
  <si>
    <t>Contraintes budgétaires;Envie de partager des compétences;Éviter les frais d'entretien</t>
  </si>
  <si>
    <t>Non , je souhaite uniquement emprunter</t>
  </si>
  <si>
    <t>Oui, occasionnellement</t>
  </si>
  <si>
    <t>Non, je ne souhaiterai pas payer de cotisation</t>
  </si>
  <si>
    <t>5€</t>
  </si>
  <si>
    <t>Disponibilité des objets;Prix abordable;Support et explications d'utilisation</t>
  </si>
  <si>
    <t>Je souhaite être informé(e) des prochaines étapes</t>
  </si>
  <si>
    <t>josette Lenfant</t>
  </si>
  <si>
    <t>josettelenfant@yahoo.fr</t>
  </si>
  <si>
    <t>QURA-2F26</t>
  </si>
  <si>
    <t>18/05/2025 21:45:31</t>
  </si>
  <si>
    <t>18/05/2025 21:51:19</t>
  </si>
  <si>
    <t>FR</t>
  </si>
  <si>
    <t>Terminé</t>
  </si>
  <si>
    <t>direct</t>
  </si>
  <si>
    <t>PC</t>
  </si>
  <si>
    <t>aa588d67cccf4d2bb8f808dd4fdad167</t>
  </si>
  <si>
    <t>Femme</t>
  </si>
  <si>
    <t>45-54 ans</t>
  </si>
  <si>
    <t>En activité professionnelle</t>
  </si>
  <si>
    <t>Maison</t>
  </si>
  <si>
    <t>25550</t>
  </si>
  <si>
    <t>Périphérie</t>
  </si>
  <si>
    <t>Oui</t>
  </si>
  <si>
    <t>Préoccupations environnementales;Réduire l'accumulation d'objets</t>
  </si>
  <si>
    <t>Non , je souhaite uniquement emprunter</t>
  </si>
  <si>
    <t>Non, jamais</t>
  </si>
  <si>
    <t>Oui, entre 10€ et 20€</t>
  </si>
  <si>
    <t>20</t>
  </si>
  <si>
    <t>Disponibilité des objets;Facilité de réservation et d'emprunt;Durée de prêt flexible</t>
  </si>
  <si>
    <t>Je ne souhaite pas être tenu(e) informé</t>
  </si>
  <si>
    <t>JWP8-X8DE</t>
  </si>
  <si>
    <t>20/05/2025 15:17:24</t>
  </si>
  <si>
    <t>20/05/2025 15:19:40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</si>
  <si>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</si>
  <si>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</si>
  <si>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</si>
  <si>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</si>
  <si>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</si>
  <si>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</si>
  <si>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</si>
  <si>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</si>
  <si>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</si>
  <si>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25400</t>
  </si>
  <si>
    <t>Proche du centre</t>
  </si>
  <si>
    <t>Oui</t>
  </si>
  <si>
    <t>Manque d'espace de stockage;Contraintes budgétaires;Réduire l'accumulation d'objets</t>
  </si>
  <si>
    <t>Oui , avec certaines conditions</t>
  </si>
  <si>
    <t>Ménage</t>
  </si>
  <si>
    <t>Non, jamais</t>
  </si>
  <si>
    <t>Oui, entre 1€ et 10€</t>
  </si>
  <si>
    <t>5€</t>
  </si>
  <si>
    <t>Prix abordable;Durée de prêt flexible</t>
  </si>
  <si>
    <t>Je souhaite être informé(e) des prochaines étapes</t>
  </si>
  <si>
    <t>CEBRE Safiya</t>
  </si>
  <si>
    <t>safiya.cebre@gmail.com</t>
  </si>
  <si>
    <t>ECRD-25BJ</t>
  </si>
  <si>
    <t>20/05/2025 15:21:46</t>
  </si>
  <si>
    <t>20/05/2025 15:23:39</t>
  </si>
  <si>
    <t>FR</t>
  </si>
  <si>
    <t>Terminé</t>
  </si>
  <si>
    <t>direct</t>
  </si>
  <si>
    <t>PC</t>
  </si>
  <si>
    <t>aa588d67cccf4d2bb8f808dd4fdad167</t>
  </si>
  <si>
    <t>Femme</t>
  </si>
  <si>
    <t>55-64 ans</t>
  </si>
  <si>
    <t>En activité professionnelle</t>
  </si>
  <si>
    <t>Maison</t>
  </si>
  <si>
    <t>90850</t>
  </si>
  <si>
    <t>Proche du centre</t>
  </si>
  <si>
    <t>Oui</t>
  </si>
  <si>
    <t>Préoccupations environnementales;Réduire l'accumulation d'objets;Éviter les frais d'entretien</t>
  </si>
  <si>
    <t>Oui , avec certaines conditions</t>
  </si>
  <si>
    <t>Jardinage</t>
  </si>
  <si>
    <t>Non, jamais</t>
  </si>
  <si>
    <t>Non, je ne souhaiterai pas payer de cotisation</t>
  </si>
  <si>
    <t>10€</t>
  </si>
  <si>
    <t>Disponibilité des objets;Facilité de réservation et d'emprunt;Prix abordable;Durée de prêt flexible;Support et explications d'utilisation</t>
  </si>
  <si>
    <t>Je souhaite être informé(e) des prochaines étapes</t>
  </si>
  <si>
    <t>Gaber Anne-Christine</t>
  </si>
  <si>
    <t>anne-christine.gaber@univ-fcomte.fr</t>
  </si>
  <si>
    <t>DPB4-RZUF</t>
  </si>
  <si>
    <t>20/05/2025 15:27:54</t>
  </si>
  <si>
    <t>20/05/2025 15:30:10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</si>
  <si>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</si>
  <si>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</si>
  <si>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</si>
  <si>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</si>
  <si>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</si>
  <si>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</si>
  <si>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</si>
  <si>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</si>
  <si>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</si>
  <si>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70400</t>
  </si>
  <si>
    <t>Proche du centre</t>
  </si>
  <si>
    <t>Oui</t>
  </si>
  <si>
    <t>Manque d'espace de stockage;Contraintes budgétaires</t>
  </si>
  <si>
    <t>Oui , avec certaines conditions</t>
  </si>
  <si>
    <t>Ménage</t>
  </si>
  <si>
    <t>Non, jamais</t>
  </si>
  <si>
    <t>Oui, entre 1€ et 10€</t>
  </si>
  <si>
    <t>10€</t>
  </si>
  <si>
    <t>Disponibilité des objets;Prix abordable</t>
  </si>
  <si>
    <t>Je souhaite être informé(e) des prochaines étapes</t>
  </si>
  <si>
    <t>XRFB-SE5P</t>
  </si>
  <si>
    <t>20/05/2025 15:30:40</t>
  </si>
  <si>
    <t>20/05/2025 15:33:50</t>
  </si>
  <si>
    <t>FR</t>
  </si>
  <si>
    <t>Terminé</t>
  </si>
  <si>
    <t>direct</t>
  </si>
  <si>
    <t>PC</t>
  </si>
  <si>
    <t>aa588d67cccf4d2bb8f808dd4fdad167</t>
  </si>
  <si>
    <t>Femme</t>
  </si>
  <si>
    <t>35-44 ans</t>
  </si>
  <si>
    <t>En activité professionnelle</t>
  </si>
  <si>
    <t>Maison</t>
  </si>
  <si>
    <t>90700</t>
  </si>
  <si>
    <t>Zone rurale</t>
  </si>
  <si>
    <t>Non</t>
  </si>
  <si>
    <t>Contraintes budgétaires;Préoccupations environnementales;Réduire l'accumulation d'objets</t>
  </si>
  <si>
    <t>Oui , avec certaines conditions</t>
  </si>
  <si>
    <t>Jardinage</t>
  </si>
  <si>
    <t>Non, jamais</t>
  </si>
  <si>
    <t>Oui, entre 10€ et 20€</t>
  </si>
  <si>
    <t>15€</t>
  </si>
  <si>
    <t>Disponibilité des objets;Facilité de réservation et d'emprunt;Prix abordable</t>
  </si>
  <si>
    <t>Je ne souhaite pas être tenu(e) informé</t>
  </si>
  <si>
    <t>Q6M8-55GB</t>
  </si>
  <si>
    <t>20/05/2025 15:37:39</t>
  </si>
  <si>
    <t>20/05/2025 15:40:53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</si>
  <si>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</si>
  <si>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</si>
  <si>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</si>
  <si>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</si>
  <si>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</si>
  <si>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</si>
  <si>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</si>
  <si>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</si>
  <si>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</si>
  <si>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70400</t>
  </si>
  <si>
    <t>Zone rurale</t>
  </si>
  <si>
    <t>Peut-être</t>
  </si>
  <si>
    <t>Réduire l'accumulation d'objets</t>
  </si>
  <si>
    <t>Oui , avec certaines conditions</t>
  </si>
  <si>
    <t>Multimédia</t>
  </si>
  <si>
    <t>Non, jamais</t>
  </si>
  <si>
    <t>Oui, entre 1€ et 10€</t>
  </si>
  <si>
    <t>15€</t>
  </si>
  <si>
    <t>Disponibilité des objets;Facilité de réservation et d'emprunt;Prix abordable;Durée de prêt flexible;Support et explications d'utilisation</t>
  </si>
  <si>
    <t>Je ne souhaite pas être tenu(e) informé</t>
  </si>
  <si>
    <t>S8TH-899T</t>
  </si>
  <si>
    <t>20/05/2025 15:52:09</t>
  </si>
  <si>
    <t>20/05/2025 15:57:21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</si>
  <si>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</si>
  <si>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</si>
  <si>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</si>
  <si>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</si>
  <si>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</si>
  <si>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</si>
  <si>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</si>
  <si>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</si>
  <si>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Appartement</t>
  </si>
  <si>
    <t>90000</t>
  </si>
  <si>
    <t>Proche du centre</t>
  </si>
  <si>
    <t>Oui</t>
  </si>
  <si>
    <t>Contraintes budgétaires;Préoccupations environnementales;Réduire l'accumulation d'objets;Autre :</t>
  </si>
  <si>
    <t>Apprendre de nouvelles choses que je ne ferais pas habituellement hors structure ou cadre.</t>
  </si>
  <si>
    <t>Oui , avec certaines conditions</t>
  </si>
  <si>
    <t>Bricolage</t>
  </si>
  <si>
    <t>Oui, occasionnellement</t>
  </si>
  <si>
    <t>Oui, entre 1€ et 10€</t>
  </si>
  <si>
    <t>20</t>
  </si>
  <si>
    <t>Disponibilité des objets;Prix abordable;Durée de prêt flexible;Support et explications d'utilisation;Autre :</t>
  </si>
  <si>
    <t>Le consentement éclairé des deux parties, et éventuellement l'amabilité de celui qui prête ou de celui qui opère la transaction.</t>
  </si>
  <si>
    <t>Je souhaite être informé(e) des prochaines étapes</t>
  </si>
  <si>
    <t>Dirand William</t>
  </si>
  <si>
    <t>dirandwilliam@gmail.com</t>
  </si>
  <si>
    <t>3DQJ-7SVN</t>
  </si>
  <si>
    <t>20/05/2025 16:08:44</t>
  </si>
  <si>
    <t>20/05/2025 16:16:15</t>
  </si>
  <si>
    <t>FR</t>
  </si>
  <si>
    <t>Terminé</t>
  </si>
  <si>
    <t>direct</t>
  </si>
  <si>
    <t>Smartphone</t>
  </si>
  <si>
    <t>aa588d67cccf4d2bb8f808dd4fdad167</t>
  </si>
  <si>
    <t>Homme</t>
  </si>
  <si>
    <t>18-24 ans</t>
  </si>
  <si>
    <t>Étudiant(e)</t>
  </si>
  <si>
    <t>Maison</t>
  </si>
  <si>
    <t>68700</t>
  </si>
  <si>
    <t>Zone rurale</t>
  </si>
  <si>
    <t>Peut-être</t>
  </si>
  <si>
    <t>Envie de partager des compétences;Réduire l'accumulation d'objets</t>
  </si>
  <si>
    <t>Oui , sans condition particulière</t>
  </si>
  <si>
    <t>Evènements &amp; fêtes</t>
  </si>
  <si>
    <t>Oui, occasionnellement</t>
  </si>
  <si>
    <t>Oui, entre 1€ et 10€</t>
  </si>
  <si>
    <t>10€</t>
  </si>
  <si>
    <t>Disponibilité des objets;Facilité de réservation et d'emprunt;Prix abordable</t>
  </si>
  <si>
    <t>Je ne souhaite pas être tenu(e) informé</t>
  </si>
  <si>
    <t>GWDZ-CCXC</t>
  </si>
  <si>
    <t>20/05/2025 16:45:50</t>
  </si>
  <si>
    <t>20/05/2025 16:47:55</t>
  </si>
  <si>
    <t>FR</t>
  </si>
  <si>
    <t>Terminé</t>
  </si>
  <si>
    <t>direct</t>
  </si>
  <si>
    <t>PC</t>
  </si>
  <si>
    <t>aa588d67cccf4d2bb8f808dd4fdad167</t>
  </si>
  <si>
    <t>Femme</t>
  </si>
  <si>
    <t>25-34 ans</t>
  </si>
  <si>
    <t>En activité professionnelle</t>
  </si>
  <si>
    <t>Appartement</t>
  </si>
  <si>
    <t>25000</t>
  </si>
  <si>
    <t>Proche du centre</t>
  </si>
  <si>
    <t>Oui</t>
  </si>
  <si>
    <t>Manque d'espace de stockage;Contraintes budgétaires;Préoccupations environnementales;Réduire l'accumulation d'objets</t>
  </si>
  <si>
    <t>Non , je souhaite uniquement emprunter</t>
  </si>
  <si>
    <t>Non, jamais</t>
  </si>
  <si>
    <t>Oui, entre 1€ et 10€</t>
  </si>
  <si>
    <t>15€</t>
  </si>
  <si>
    <t>Disponibilité des objets;Facilité de réservation et d'emprunt;Prix abordable</t>
  </si>
  <si>
    <t>Je ne souhaite pas être tenu(e) informé</t>
  </si>
  <si>
    <t>SE2F-JB4Y</t>
  </si>
  <si>
    <t>20/05/2025 16:57:01</t>
  </si>
  <si>
    <t>20/05/2025 16:58:10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</si>
  <si>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</si>
  <si>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</si>
  <si>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</si>
  <si>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</si>
  <si>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</si>
  <si>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</si>
  <si>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</si>
  <si>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</si>
  <si>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Appartement</t>
  </si>
  <si>
    <t>70400</t>
  </si>
  <si>
    <t>Proche du centre</t>
  </si>
  <si>
    <t>Non</t>
  </si>
  <si>
    <t>Manque d'espace de stockage;Réduire l'accumulation d'objets</t>
  </si>
  <si>
    <t>Non , je souhaite uniquement emprunter</t>
  </si>
  <si>
    <t>Non, jamais</t>
  </si>
  <si>
    <t>Non, je ne souhaiterai pas payer de cotisation</t>
  </si>
  <si>
    <t>20</t>
  </si>
  <si>
    <t>Disponibilité des objets;Prix abordable;Durée de prêt flexible</t>
  </si>
  <si>
    <t>Je ne souhaite pas être tenu(e) informé</t>
  </si>
  <si>
    <t>3ZEU-MC9S</t>
  </si>
  <si>
    <t>20/05/2025 17:14:41</t>
  </si>
  <si>
    <t>20/05/2025 17:16:11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</si>
  <si>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</si>
  <si>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</si>
  <si>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</si>
  <si>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</si>
  <si>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</si>
  <si>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</si>
  <si>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</si>
  <si>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Autre</t>
  </si>
  <si>
    <t>Alternant</t>
  </si>
  <si>
    <t>Maison</t>
  </si>
  <si>
    <t>90300</t>
  </si>
  <si>
    <t>Proche du centre</t>
  </si>
  <si>
    <t>Peut-être</t>
  </si>
  <si>
    <t>Manque d'espace de stockage;Envie de partager des compétences;Réduire l'accumulation d'objets</t>
  </si>
  <si>
    <t>Oui , avec certaines conditions</t>
  </si>
  <si>
    <t>Bricolage</t>
  </si>
  <si>
    <t>Oui, occasionnellement</t>
  </si>
  <si>
    <t>Oui, entre 1€ et 10€</t>
  </si>
  <si>
    <t>15€</t>
  </si>
  <si>
    <t>Facilité de réservation et d'emprunt;Prix abordable;Durée de prêt flexible;Support et explications d'utilisation</t>
  </si>
  <si>
    <t>Je souhaite être informé(e) des prochaines étapes</t>
  </si>
  <si>
    <t>KOSE IBRAHIM</t>
  </si>
  <si>
    <t>emirhan5890@icloud.com</t>
  </si>
  <si>
    <t>0768275425</t>
  </si>
  <si>
    <t>GTBJ-WXCN</t>
  </si>
  <si>
    <t>20/05/2025 17:18:55</t>
  </si>
  <si>
    <t>20/05/2025 17:20:56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</si>
  <si>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</si>
  <si>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</si>
  <si>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</si>
  <si>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</si>
  <si>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</si>
  <si>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</si>
  <si>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</si>
  <si>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</si>
  <si>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Appartement</t>
  </si>
  <si>
    <t>90000</t>
  </si>
  <si>
    <t>Proche du centre</t>
  </si>
  <si>
    <t>Oui</t>
  </si>
  <si>
    <t>Réduire l'accumulation d'objets</t>
  </si>
  <si>
    <t>Non , je souhaite uniquement emprunter</t>
  </si>
  <si>
    <t>Non, jamais</t>
  </si>
  <si>
    <t>Non, je ne souhaiterai pas payer de cotisation</t>
  </si>
  <si>
    <t>20</t>
  </si>
  <si>
    <t>Disponibilité des objets;Prix abordable</t>
  </si>
  <si>
    <t>Je ne souhaite pas être tenu(e) informé</t>
  </si>
  <si>
    <t>2SGF-MYFA</t>
  </si>
  <si>
    <t>20/05/2025 17:37:18</t>
  </si>
  <si>
    <t>20/05/2025 17:38:14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</si>
  <si>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</si>
  <si>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</si>
  <si>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</si>
  <si>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</si>
  <si>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</si>
  <si>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</si>
  <si>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</si>
  <si>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</si>
  <si>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</si>
  <si>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25350</t>
  </si>
  <si>
    <t>Proche du centre</t>
  </si>
  <si>
    <t>Non</t>
  </si>
  <si>
    <t>Contraintes budgétaires;Réduire l'accumulation d'objets</t>
  </si>
  <si>
    <t>Non , je souhaite uniquement emprunter</t>
  </si>
  <si>
    <t>Non, jamais</t>
  </si>
  <si>
    <t>Oui, entre 1€ et 10€</t>
  </si>
  <si>
    <t>10€</t>
  </si>
  <si>
    <t>Facilité de réservation et d'emprunt;Prix abordable;Durée de prêt flexible</t>
  </si>
  <si>
    <t>Je ne souhaite pas être tenu(e) informé</t>
  </si>
  <si>
    <t>52MY-BJJ9</t>
  </si>
  <si>
    <t>20/05/2025 19:13:06</t>
  </si>
  <si>
    <t>20/05/2025 19:14:50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</si>
  <si>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</si>
  <si>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</si>
  <si>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</si>
  <si>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</si>
  <si>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</si>
  <si>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</si>
  <si>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</si>
  <si>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</si>
  <si>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</si>
  <si>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70000</t>
  </si>
  <si>
    <t>Périphérie</t>
  </si>
  <si>
    <t>Oui</t>
  </si>
  <si>
    <t>Contraintes budgétaires</t>
  </si>
  <si>
    <t>Oui , avec certaines conditions</t>
  </si>
  <si>
    <t>Jeux extérieurs</t>
  </si>
  <si>
    <t>Non, jamais</t>
  </si>
  <si>
    <t>Oui, entre 1€ et 10€</t>
  </si>
  <si>
    <t>15€</t>
  </si>
  <si>
    <t>Facilité de réservation et d'emprunt;Prix abordable</t>
  </si>
  <si>
    <t>Je ne souhaite pas être tenu(e) informé</t>
  </si>
  <si>
    <t>TFUX-2AE6</t>
  </si>
  <si>
    <t>20/05/2025 20:24:03</t>
  </si>
  <si>
    <t>20/05/2025 20:25:50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</si>
  <si>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</si>
  <si>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</si>
  <si>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</si>
  <si>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</si>
  <si>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</si>
  <si>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</si>
  <si>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</si>
  <si>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</si>
  <si>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</si>
  <si>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90120</t>
  </si>
  <si>
    <t>Proche du centre</t>
  </si>
  <si>
    <t>Peut-être</t>
  </si>
  <si>
    <t>Contraintes budgétaires</t>
  </si>
  <si>
    <t>Non , je souhaite uniquement emprunter</t>
  </si>
  <si>
    <t>Non, jamais</t>
  </si>
  <si>
    <t>Oui, entre 1€ et 10€</t>
  </si>
  <si>
    <t>10€</t>
  </si>
  <si>
    <t>Disponibilité des objets;Facilité de réservation et d'emprunt;Prix abordable;Durée de prêt flexible;Support et explications d'utilisation</t>
  </si>
  <si>
    <t>Je ne souhaite pas être tenu(e) informé</t>
  </si>
  <si>
    <t>YYNY-6U95</t>
  </si>
  <si>
    <t>20/05/2025 22:39:00</t>
  </si>
  <si>
    <t>20/05/2025 22:40:35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</si>
  <si>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</si>
  <si>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</si>
  <si>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</si>
  <si>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</si>
  <si>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</si>
  <si>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</si>
  <si>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</si>
  <si>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</si>
  <si>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Maison</t>
  </si>
  <si>
    <t>68100</t>
  </si>
  <si>
    <t>Proche du centre</t>
  </si>
  <si>
    <t>Non</t>
  </si>
  <si>
    <t>Autre :</t>
  </si>
  <si>
    <t>Oui , avec certaines conditions</t>
  </si>
  <si>
    <t>Jeux extérieurs</t>
  </si>
  <si>
    <t>Oui, occasionnellement</t>
  </si>
  <si>
    <t>Oui, entre 1€ et 10€</t>
  </si>
  <si>
    <t>15€</t>
  </si>
  <si>
    <t>Disponibilité des objets;Facilité de réservation et d'emprunt;Prix abordable</t>
  </si>
  <si>
    <t>Je ne souhaite pas être tenu(e) informé</t>
  </si>
  <si>
    <t>6MHK-RAJL</t>
  </si>
  <si>
    <t>20/05/2025 23:16:43</t>
  </si>
  <si>
    <t>20/05/2025 23:17:48</t>
  </si>
  <si>
    <t>FR</t>
  </si>
  <si>
    <t>Terminé</t>
  </si>
  <si>
    <t>direct</t>
  </si>
  <si>
    <t>Smartphone</t>
  </si>
  <si>
    <t>aa588d67cccf4d2bb8f808dd4fdad167</t>
  </si>
  <si>
    <t>Femme</t>
  </si>
  <si>
    <t>55-64 ans</t>
  </si>
  <si>
    <t>En activité professionnelle</t>
  </si>
  <si>
    <t>Maison</t>
  </si>
  <si>
    <t>70400</t>
  </si>
  <si>
    <t>Zone rurale</t>
  </si>
  <si>
    <t>Non</t>
  </si>
  <si>
    <t>Contraintes budgétaires;Préoccupations environnementales;Envie de partager des compétences;Réduire l'accumulation d'objets;Éviter les frais d'entretien</t>
  </si>
  <si>
    <t>Non , je souhaite uniquement emprunter</t>
  </si>
  <si>
    <t>Non, jamais</t>
  </si>
  <si>
    <t>Oui, entre 10€ et 20€</t>
  </si>
  <si>
    <t>20</t>
  </si>
  <si>
    <t>Disponibilité des objets;Prix abordable;Support et explications d'utilisation</t>
  </si>
  <si>
    <t>Je ne souhaite pas être tenu(e) informé</t>
  </si>
  <si>
    <t>4ZL5-EK4J</t>
  </si>
  <si>
    <t>21/05/2025 07:43:01</t>
  </si>
  <si>
    <t>21/05/2025 07:46:18</t>
  </si>
  <si>
    <t>FR</t>
  </si>
  <si>
    <t>Terminé</t>
  </si>
  <si>
    <t>direct</t>
  </si>
  <si>
    <t>PC</t>
  </si>
  <si>
    <t>aa588d67cccf4d2bb8f808dd4fdad167</t>
  </si>
  <si>
    <t>Homme</t>
  </si>
  <si>
    <t>25-34 ans</t>
  </si>
  <si>
    <t>En activité professionnelle</t>
  </si>
  <si>
    <t>Appartement</t>
  </si>
  <si>
    <t>90000</t>
  </si>
  <si>
    <t>Proche du centre</t>
  </si>
  <si>
    <t>Non</t>
  </si>
  <si>
    <t>Contraintes budgétaires;Réduire l'accumulation d'objets;Éviter les frais d'entretien</t>
  </si>
  <si>
    <t>Oui , avec certaines conditions</t>
  </si>
  <si>
    <t>Evènements &amp; fêtes</t>
  </si>
  <si>
    <t>Non, jamais</t>
  </si>
  <si>
    <t>Oui, entre 1€ et 10€</t>
  </si>
  <si>
    <t>20</t>
  </si>
  <si>
    <t>Disponibilité des objets;Facilité de réservation et d'emprunt;Support et explications d'utilisation</t>
  </si>
  <si>
    <t>Je ne souhaite pas être tenu(e) informé</t>
  </si>
  <si>
    <t>EUZT-F7HY</t>
  </si>
  <si>
    <t>21/05/2025 07:59:59</t>
  </si>
  <si>
    <t>21/05/2025 08:02:31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</si>
  <si>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</si>
  <si>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</si>
  <si>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</si>
  <si>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</si>
  <si>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</si>
  <si>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</si>
  <si>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</si>
  <si>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</si>
  <si>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</si>
  <si>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68</t>
  </si>
  <si>
    <t>Zone rurale</t>
  </si>
  <si>
    <t>Non</t>
  </si>
  <si>
    <t>Contraintes budgétaires;Réduire l'accumulation d'objets;Éviter les frais d'entretien</t>
  </si>
  <si>
    <t>Non , je souhaite uniquement emprunter</t>
  </si>
  <si>
    <t>Non, jamais</t>
  </si>
  <si>
    <t>Non, je ne souhaiterai pas payer de cotisation</t>
  </si>
  <si>
    <t>20</t>
  </si>
  <si>
    <t>Disponibilité des objets;Facilité de réservation et d'emprunt;Prix abordable;Durée de prêt flexible</t>
  </si>
  <si>
    <t>Je ne souhaite pas être tenu(e) informé</t>
  </si>
  <si>
    <t>LV9D-E7B6</t>
  </si>
  <si>
    <t>21/05/2025 08:14:45</t>
  </si>
  <si>
    <t>21/05/2025 08:16:44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</si>
  <si>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</si>
  <si>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</si>
  <si>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</si>
  <si>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</si>
  <si>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</si>
  <si>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</si>
  <si>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</si>
  <si>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</si>
  <si>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Maison</t>
  </si>
  <si>
    <t>90000</t>
  </si>
  <si>
    <t>Zone rurale</t>
  </si>
  <si>
    <t>Peut-être</t>
  </si>
  <si>
    <t>Contraintes budgétaires;Préoccupations environnementales;Réduire l'accumulation d'objets</t>
  </si>
  <si>
    <t>Non , je souhaite uniquement emprunter</t>
  </si>
  <si>
    <t>Non, jamais</t>
  </si>
  <si>
    <t>Non, je ne souhaiterai pas payer de cotisation</t>
  </si>
  <si>
    <t>15€</t>
  </si>
  <si>
    <t>Facilité de réservation et d'emprunt;Prix abordable;Durée de prêt flexible</t>
  </si>
  <si>
    <t>Je ne souhaite pas être tenu(e) informé</t>
  </si>
  <si>
    <t>RDRN-WNSZ</t>
  </si>
  <si>
    <t>21/05/2025 08:28:21</t>
  </si>
  <si>
    <t>21/05/2025 08:29:50</t>
  </si>
  <si>
    <t>FR</t>
  </si>
  <si>
    <t>Terminé</t>
  </si>
  <si>
    <t>direct</t>
  </si>
  <si>
    <t>PC</t>
  </si>
  <si>
    <t>aa588d67cccf4d2bb8f808dd4fdad167</t>
  </si>
  <si>
    <t>Femme</t>
  </si>
  <si>
    <t>18-24 ans</t>
  </si>
  <si>
    <t>Étudiant(e)</t>
  </si>
  <si>
    <t>Appartement</t>
  </si>
  <si>
    <t>90400</t>
  </si>
  <si>
    <t>Proche du centre</t>
  </si>
  <si>
    <t>Oui</t>
  </si>
  <si>
    <t>Contraintes budgétaires;Réduire l'accumulation d'objets</t>
  </si>
  <si>
    <t>Non , je souhaite uniquement emprunter</t>
  </si>
  <si>
    <t>Non, jamais</t>
  </si>
  <si>
    <t>Non, je ne souhaiterai pas payer de cotisation</t>
  </si>
  <si>
    <t>10€</t>
  </si>
  <si>
    <t>Facilité de réservation et d'emprunt;Durée de prêt flexible</t>
  </si>
  <si>
    <t>Je ne souhaite pas être tenu(e) informé</t>
  </si>
  <si>
    <t>BVZE-ARYX</t>
  </si>
  <si>
    <t>21/05/2025 09:15:23</t>
  </si>
  <si>
    <t>21/05/2025 09:17:06</t>
  </si>
  <si>
    <t>FR</t>
  </si>
  <si>
    <t>Terminé</t>
  </si>
  <si>
    <t>direct</t>
  </si>
  <si>
    <t>Smartphone</t>
  </si>
  <si>
    <t>aa588d67cccf4d2bb8f808dd4fdad167</t>
  </si>
  <si>
    <t>Homme</t>
  </si>
  <si>
    <t>18-24 ans</t>
  </si>
  <si>
    <t>Étudiant(e)</t>
  </si>
  <si>
    <t>Appartement</t>
  </si>
  <si>
    <t>90000</t>
  </si>
  <si>
    <t>Proche du centre</t>
  </si>
  <si>
    <t>Non</t>
  </si>
  <si>
    <t>Manque d'espace de stockage</t>
  </si>
  <si>
    <t>Non , je souhaite uniquement emprunter</t>
  </si>
  <si>
    <t>Non, jamais</t>
  </si>
  <si>
    <t>Non, je ne souhaiterai pas payer de cotisation</t>
  </si>
  <si>
    <t>5€</t>
  </si>
  <si>
    <t>Disponibilité des objets</t>
  </si>
  <si>
    <t>Je ne souhaite pas être tenu(e) informé</t>
  </si>
  <si>
    <t>V46D-KMWT</t>
  </si>
  <si>
    <t>21/05/2025 10:17:11</t>
  </si>
  <si>
    <t>21/05/2025 10:18:50</t>
  </si>
  <si>
    <t>FR</t>
  </si>
  <si>
    <t>Terminé</t>
  </si>
  <si>
    <t>direct</t>
  </si>
  <si>
    <t>PC</t>
  </si>
  <si>
    <t>aa588d67cccf4d2bb8f808dd4fdad167</t>
  </si>
  <si>
    <t>Femme</t>
  </si>
  <si>
    <t>25-34 ans</t>
  </si>
  <si>
    <t>En activité professionnelle</t>
  </si>
  <si>
    <t>Appartement</t>
  </si>
  <si>
    <t>90000</t>
  </si>
  <si>
    <t>Proche du centre</t>
  </si>
  <si>
    <t>Oui</t>
  </si>
  <si>
    <t>Manque d'espace de stockage</t>
  </si>
  <si>
    <t>Oui , sans condition particulière</t>
  </si>
  <si>
    <t>Cuisine</t>
  </si>
  <si>
    <t>Oui, occasionnellement</t>
  </si>
  <si>
    <t>Oui, entre 10€ et 20€</t>
  </si>
  <si>
    <t>10€</t>
  </si>
  <si>
    <t>Disponibilité des objets;Support et explications d'utilisation</t>
  </si>
  <si>
    <t>Je souhaite être informé(e) des prochaines étapes</t>
  </si>
  <si>
    <t>VJC4-TTZR</t>
  </si>
  <si>
    <t>21/05/2025 11:18:54</t>
  </si>
  <si>
    <t>21/05/2025 11:20:42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</si>
  <si>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</si>
  <si>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</si>
  <si>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</si>
  <si>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</si>
  <si>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</si>
  <si>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</si>
  <si>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</si>
  <si>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</si>
  <si>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</t>
  </si>
  <si>
    <t>25400</t>
  </si>
  <si>
    <t>Proche du centre</t>
  </si>
  <si>
    <t>Oui</t>
  </si>
  <si>
    <t>Contraintes budgétaires;Préoccupations environnementales;Réduire l'accumulation d'objets</t>
  </si>
  <si>
    <t>Oui , avec certaines conditions</t>
  </si>
  <si>
    <t>Camping / Randonnée</t>
  </si>
  <si>
    <t>Non, jamais</t>
  </si>
  <si>
    <t>Oui, entre 10€ et 20€</t>
  </si>
  <si>
    <t>10€</t>
  </si>
  <si>
    <t>Disponibilité des objets;Facilité de réservation et d'emprunt</t>
  </si>
  <si>
    <t>Je souhaite être informé(e) des prochaines étapes</t>
  </si>
  <si>
    <t>Polat Lea</t>
  </si>
  <si>
    <t>leaplt0406@gmail.com</t>
  </si>
  <si>
    <t>06 69 06 37 50</t>
  </si>
  <si>
    <t>RTA2-K46R</t>
  </si>
  <si>
    <t>21/05/2025 15:08:22</t>
  </si>
  <si>
    <t>21/05/2025 15:10:31</t>
  </si>
  <si>
    <t>FR</t>
  </si>
  <si>
    <t>Terminé</t>
  </si>
  <si>
    <t>direct</t>
  </si>
  <si>
    <t>PC</t>
  </si>
  <si>
    <t>aa588d67cccf4d2bb8f808dd4fdad167</t>
  </si>
  <si>
    <t>Homme</t>
  </si>
  <si>
    <t>18-24 ans</t>
  </si>
  <si>
    <t>Étudiant(e)</t>
  </si>
  <si>
    <t>Appartement</t>
  </si>
  <si>
    <t>25000</t>
  </si>
  <si>
    <t>Périphérie</t>
  </si>
  <si>
    <t>Oui</t>
  </si>
  <si>
    <t>Réduire l'accumulation d'objets</t>
  </si>
  <si>
    <t>Non , je souhaite uniquement emprunter</t>
  </si>
  <si>
    <t>Oui, occasionnellement</t>
  </si>
  <si>
    <t>Oui, entre 1€ et 10€</t>
  </si>
  <si>
    <t>15€</t>
  </si>
  <si>
    <t>Disponibilité des objets;Prix abordable</t>
  </si>
  <si>
    <t>Je ne souhaite pas être tenu(e) informé</t>
  </si>
  <si>
    <t>WLSL-F88D</t>
  </si>
  <si>
    <t>22/05/2025 10:49:28</t>
  </si>
  <si>
    <t>22/05/2025 10:51:01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</si>
  <si>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</si>
  <si>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</si>
  <si>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</si>
  <si>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</si>
  <si>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</si>
  <si>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</si>
  <si>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</si>
  <si>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</si>
  <si>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Maison</t>
  </si>
  <si>
    <t>25000</t>
  </si>
  <si>
    <t>Proche du centre</t>
  </si>
  <si>
    <t>Oui</t>
  </si>
  <si>
    <t>Préoccupations environnementales;Envie de partager des compétences;Réduire l'accumulation d'objets</t>
  </si>
  <si>
    <t>Oui , avec certaines conditions</t>
  </si>
  <si>
    <t>Jardinage</t>
  </si>
  <si>
    <t>Non, jamais</t>
  </si>
  <si>
    <t>Oui, entre 10€ et 20€</t>
  </si>
  <si>
    <t>10€</t>
  </si>
  <si>
    <t>Facilité de réservation et d'emprunt;Prix abordable;Support et explications d'utilisation</t>
  </si>
  <si>
    <t>Je souhaite être informé(e) des prochaines étapes</t>
  </si>
  <si>
    <t>galland marie</t>
  </si>
  <si>
    <t>galland.marie01@gmail.com</t>
  </si>
  <si>
    <t>MKSC-2B7E</t>
  </si>
  <si>
    <t>22/05/2025 20:01:00</t>
  </si>
  <si>
    <t>22/05/2025 20:04:47</t>
  </si>
  <si>
    <t>FR</t>
  </si>
  <si>
    <t>Terminé</t>
  </si>
  <si>
    <t>direct</t>
  </si>
  <si>
    <t>Smartphone</t>
  </si>
  <si>
    <t>aa588d67cccf4d2bb8f808dd4fdad167</t>
  </si>
  <si>
    <t>Homme</t>
  </si>
  <si>
    <t>35-44 ans</t>
  </si>
  <si>
    <t>En activité professionnelle</t>
  </si>
  <si>
    <t>Appartement</t>
  </si>
  <si>
    <t>25000</t>
  </si>
  <si>
    <t>Hyper-centre</t>
  </si>
  <si>
    <t>Oui</t>
  </si>
  <si>
    <t>Préoccupations environnementales;Réduire l'accumulation d'objets</t>
  </si>
  <si>
    <t>Non , je souhaite uniquement emprunter</t>
  </si>
  <si>
    <t>Non, jamais</t>
  </si>
  <si>
    <t>Oui, entre 10€ et 20€</t>
  </si>
  <si>
    <t>10€</t>
  </si>
  <si>
    <t>Facilité de réservation et d'emprunt;Support et explications d'utilisation</t>
  </si>
  <si>
    <t>Je ne souhaite pas être tenu(e) informé</t>
  </si>
  <si>
    <t>KH57-QJGA</t>
  </si>
  <si>
    <t>22/05/2025 20:27:07</t>
  </si>
  <si>
    <t>22/05/2025 20:29:25</t>
  </si>
  <si>
    <t>FR</t>
  </si>
  <si>
    <t>Terminé</t>
  </si>
  <si>
    <t>direct</t>
  </si>
  <si>
    <t>Smartphone</t>
  </si>
  <si>
    <t>aa588d67cccf4d2bb8f808dd4fdad167</t>
  </si>
  <si>
    <t>Femme</t>
  </si>
  <si>
    <t>18-24 ans</t>
  </si>
  <si>
    <t>Étudiant(e)</t>
  </si>
  <si>
    <t>maison mais c'est pour prevenir qu'on peut mettre qu'un seul type d'objet qu'on est pret a partager</t>
  </si>
  <si>
    <t>25000</t>
  </si>
  <si>
    <t>Périphérie</t>
  </si>
  <si>
    <t>Oui</t>
  </si>
  <si>
    <t>Contraintes budgétaires;Préoccupations environnementales;Réduire l'accumulation d'objets</t>
  </si>
  <si>
    <t>Oui , avec certaines conditions</t>
  </si>
  <si>
    <t>Bagagerie</t>
  </si>
  <si>
    <t>Oui, occasionnellement</t>
  </si>
  <si>
    <t>Oui, entre 1€ et 10€</t>
  </si>
  <si>
    <t>15€</t>
  </si>
  <si>
    <t>Disponibilité des objets;Facilité de réservation et d'emprunt;Prix abordable</t>
  </si>
  <si>
    <t>Je ne souhaite pas être tenu(e) informé</t>
  </si>
  <si>
    <t>22D8-NBA8</t>
  </si>
  <si>
    <t>22/05/2025 20:57:14</t>
  </si>
  <si>
    <t>22/05/2025 21:01:02</t>
  </si>
  <si>
    <t>FR</t>
  </si>
  <si>
    <t>Terminé</t>
  </si>
  <si>
    <t>direct</t>
  </si>
  <si>
    <t>Tablette</t>
  </si>
  <si>
    <t>aa588d67cccf4d2bb8f808dd4fdad167</t>
  </si>
  <si>
    <t>Homme</t>
  </si>
  <si>
    <t>18-24 ans</t>
  </si>
  <si>
    <t>Étudiant(e)</t>
  </si>
  <si>
    <t>Autre :</t>
  </si>
  <si>
    <t>Pavillon</t>
  </si>
  <si>
    <t>90300</t>
  </si>
  <si>
    <t>Proche du centre</t>
  </si>
  <si>
    <t>Oui</t>
  </si>
  <si>
    <t>Réduire l'accumulation d'objets;Éviter les frais d'entretien</t>
  </si>
  <si>
    <t>Oui , avec certaines conditions</t>
  </si>
  <si>
    <t>Matériel sportif</t>
  </si>
  <si>
    <t>Non, jamais</t>
  </si>
  <si>
    <t>Oui, entre 1€ et 10€</t>
  </si>
  <si>
    <t>20</t>
  </si>
  <si>
    <t>Facilité de réservation et d'emprunt;Prix abordable;Durée de prêt flexible;Support et explications d'utilisation</t>
  </si>
  <si>
    <t>Je souhaite être informé(e) des prochaines étapes</t>
  </si>
  <si>
    <t>KACIMI Amir</t>
  </si>
  <si>
    <t>amirkdz@outlook.fr</t>
  </si>
  <si>
    <t>2NAD-7U97</t>
  </si>
  <si>
    <t>22/05/2025 21:28:43</t>
  </si>
  <si>
    <t>22/05/2025 21:31:39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</si>
  <si>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</si>
  <si>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</si>
  <si>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</si>
  <si>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</si>
  <si>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</si>
  <si>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</si>
  <si>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</si>
  <si>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</si>
  <si>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Autre :</t>
  </si>
  <si>
    <t>colocation (maison)</t>
  </si>
  <si>
    <t>Proche du centre</t>
  </si>
  <si>
    <t>Oui</t>
  </si>
  <si>
    <t>Manque d'espace de stockage;Contraintes budgétaires;Préoccupations environnementales;Envie de partager des compétences;Réduire l'accumulation d'objets;Éviter les frais d'entretien</t>
  </si>
  <si>
    <t>Oui , avec certaines conditions</t>
  </si>
  <si>
    <t>Camping / Randonnée</t>
  </si>
  <si>
    <t>Non, jamais</t>
  </si>
  <si>
    <t>Oui, entre 20€ et 30€</t>
  </si>
  <si>
    <t>15€</t>
  </si>
  <si>
    <t>Disponibilité des objets;Facilité de réservation et d'emprunt;Support et explications d'utilisation</t>
  </si>
  <si>
    <t>Je souhaite être informé(e) des prochaines étapes</t>
  </si>
  <si>
    <t>Courgey Juliette</t>
  </si>
  <si>
    <t>juliette.courgette@hotmail.fr</t>
  </si>
  <si>
    <t>DM3M-GCEL</t>
  </si>
  <si>
    <t>22/05/2025 22:27:44</t>
  </si>
  <si>
    <t>22/05/2025 22:31:39</t>
  </si>
  <si>
    <t>FR</t>
  </si>
  <si>
    <t>Terminé</t>
  </si>
  <si>
    <t>direct</t>
  </si>
  <si>
    <t>Smartphone</t>
  </si>
  <si>
    <t>aa588d67cccf4d2bb8f808dd4fdad167</t>
  </si>
  <si>
    <t>Homme</t>
  </si>
  <si>
    <t>25-34 ans</t>
  </si>
  <si>
    <t>Demandeur / Demandeuse d'emploi</t>
  </si>
  <si>
    <t>Autre :</t>
  </si>
  <si>
    <t>25000</t>
  </si>
  <si>
    <t>Zone rurale</t>
  </si>
  <si>
    <t>Oui</t>
  </si>
  <si>
    <t>Préoccupations environnementales;Réduire l'accumulation d'objets</t>
  </si>
  <si>
    <t>Oui , sans condition particulière</t>
  </si>
  <si>
    <t>Bricolage</t>
  </si>
  <si>
    <t>Oui, occasionnellement</t>
  </si>
  <si>
    <t>Oui, entre 10€ et 20€</t>
  </si>
  <si>
    <t>10€</t>
  </si>
  <si>
    <t>Disponibilité des objets;Prix abordable</t>
  </si>
  <si>
    <t>Je ne souhaite pas être tenu(e) informé</t>
  </si>
  <si>
    <t>4CV5-F9XS</t>
  </si>
  <si>
    <t>22/05/2025 22:35:57</t>
  </si>
  <si>
    <t>22/05/2025 22:38:40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</si>
  <si>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</si>
  <si>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</si>
  <si>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</si>
  <si>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</si>
  <si>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</si>
  <si>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</si>
  <si>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</si>
  <si>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</si>
  <si>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Maison</t>
  </si>
  <si>
    <t>25440</t>
  </si>
  <si>
    <t>Zone rurale</t>
  </si>
  <si>
    <t>Peut-être</t>
  </si>
  <si>
    <t>Préoccupations environnementales;Réduire l'accumulation d'objets;Éviter les frais d'entretien</t>
  </si>
  <si>
    <t>Oui , avec certaines conditions</t>
  </si>
  <si>
    <t>Jardinage</t>
  </si>
  <si>
    <t>Non, jamais</t>
  </si>
  <si>
    <t>Oui, entre 1€ et 10€</t>
  </si>
  <si>
    <t>10€</t>
  </si>
  <si>
    <t>Facilité de réservation et d'emprunt</t>
  </si>
  <si>
    <t>Je ne souhaite pas être tenu(e) informé</t>
  </si>
  <si>
    <t>VUMM-92C5</t>
  </si>
  <si>
    <t>22/05/2025 22:50:24</t>
  </si>
  <si>
    <t>22/05/2025 22:53:32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</si>
  <si>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</si>
  <si>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</si>
  <si>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</si>
  <si>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</si>
  <si>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</si>
  <si>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</si>
  <si>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</si>
  <si>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</si>
  <si>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Appartement</t>
  </si>
  <si>
    <t>25000</t>
  </si>
  <si>
    <t>Hyper-centre</t>
  </si>
  <si>
    <t>Oui</t>
  </si>
  <si>
    <t>Manque d'espace de stockage;Contraintes budgétaires;Préoccupations environnementales;Réduire l'accumulation d'objets;Éviter les frais d'entretien</t>
  </si>
  <si>
    <t>Oui , avec certaines conditions</t>
  </si>
  <si>
    <t>Bricolage</t>
  </si>
  <si>
    <t>Non, jamais</t>
  </si>
  <si>
    <t>Oui, entre 1€ et 10€</t>
  </si>
  <si>
    <t>5€</t>
  </si>
  <si>
    <t>Facilité de réservation et d'emprunt;Prix abordable</t>
  </si>
  <si>
    <t>Je ne souhaite pas être tenu(e) informé</t>
  </si>
  <si>
    <t>FZ5B-SFVE</t>
  </si>
  <si>
    <t>22/05/2025 22:51:48</t>
  </si>
  <si>
    <t>22/05/2025 22:54:16</t>
  </si>
  <si>
    <t>FR</t>
  </si>
  <si>
    <t>Terminé</t>
  </si>
  <si>
    <t>direct</t>
  </si>
  <si>
    <t>Smartphone</t>
  </si>
  <si>
    <t>aa588d67cccf4d2bb8f808dd4fdad167</t>
  </si>
  <si>
    <t>Femme</t>
  </si>
  <si>
    <t>45-54 ans</t>
  </si>
  <si>
    <t>En activité professionnelle</t>
  </si>
  <si>
    <t>Appartement</t>
  </si>
  <si>
    <t>25000</t>
  </si>
  <si>
    <t>Centre</t>
  </si>
  <si>
    <t>Oui</t>
  </si>
  <si>
    <t>Manque d'espace de stockage;Contraintes budgétaires;Envie de partager des compétences;Réduire l'accumulation d'objets</t>
  </si>
  <si>
    <t>Oui , avec certaines conditions</t>
  </si>
  <si>
    <t>Animalerie</t>
  </si>
  <si>
    <t>Oui, occasionnellement</t>
  </si>
  <si>
    <t>Oui, entre 1€ et 10€</t>
  </si>
  <si>
    <t>5€</t>
  </si>
  <si>
    <t>Disponibilité des objets;Facilité de réservation et d'emprunt;Prix abordable;Durée de prêt flexible;Support et explications d'utilisation</t>
  </si>
  <si>
    <t>Je souhaite être informé(e) des prochaines étapes</t>
  </si>
  <si>
    <t>PETITCIRE Alexandra</t>
  </si>
  <si>
    <t>alexandra.petitcire@gmail.com</t>
  </si>
  <si>
    <t>STNZ-28VJ</t>
  </si>
  <si>
    <t>23/05/2025 02:23:14</t>
  </si>
  <si>
    <t>23/05/2025 02:27:47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</si>
  <si>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</si>
  <si>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</si>
  <si>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</si>
  <si>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</si>
  <si>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</si>
  <si>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</si>
  <si>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</si>
  <si>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</si>
  <si>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Maison</t>
  </si>
  <si>
    <t>25660</t>
  </si>
  <si>
    <t>Centre</t>
  </si>
  <si>
    <t>Peut-être</t>
  </si>
  <si>
    <t>Manque d'espace de stockage;Contraintes budgétaires;Préoccupations environnementales;Réduire l'accumulation d'objets</t>
  </si>
  <si>
    <t>Non , je souhaite uniquement emprunter</t>
  </si>
  <si>
    <t>Oui, occasionnellement</t>
  </si>
  <si>
    <t>Oui, entre 1€ et 10€</t>
  </si>
  <si>
    <t>5€</t>
  </si>
  <si>
    <t>Disponibilité des objets;Facilité de réservation et d'emprunt;Prix abordable</t>
  </si>
  <si>
    <t>Je ne souhaite pas être tenu(e) informé</t>
  </si>
  <si>
    <t>TNT2-4QAL</t>
  </si>
  <si>
    <t>23/05/2025 03:21:06</t>
  </si>
  <si>
    <t>23/05/2025 03:24:02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</si>
  <si>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</si>
  <si>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</si>
  <si>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</si>
  <si>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</si>
  <si>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</si>
  <si>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</si>
  <si>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</si>
  <si>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</si>
  <si>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Appartement</t>
  </si>
  <si>
    <t>25000</t>
  </si>
  <si>
    <t>Proche du centre</t>
  </si>
  <si>
    <t>Oui</t>
  </si>
  <si>
    <t>Manque d'espace de stockage;Contraintes budgétaires;Préoccupations environnementales;Envie de partager des compétences;Réduire l'accumulation d'objets;Éviter les frais d'entretien</t>
  </si>
  <si>
    <t>Oui , avec certaines conditions</t>
  </si>
  <si>
    <t>Camping / Randonnée</t>
  </si>
  <si>
    <t>Non, jamais</t>
  </si>
  <si>
    <t>Oui, entre 1€ et 10€</t>
  </si>
  <si>
    <t>10€</t>
  </si>
  <si>
    <t>Facilité de réservation et d'emprunt;Prix abordable;Durée de prêt flexible</t>
  </si>
  <si>
    <t>Je souhaite être informé(e) des prochaines étapes</t>
  </si>
  <si>
    <t>Agathe MAITREJEAN</t>
  </si>
  <si>
    <t>amaitrej@gmail.com</t>
  </si>
  <si>
    <t>6VM6-AJTV</t>
  </si>
  <si>
    <t>23/05/2025 06:56:59</t>
  </si>
  <si>
    <t>23/05/2025 07:04:42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</si>
  <si>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</si>
  <si>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</si>
  <si>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</si>
  <si>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</si>
  <si>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</si>
  <si>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</si>
  <si>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</si>
  <si>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</si>
  <si>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Appartement</t>
  </si>
  <si>
    <t>25000</t>
  </si>
  <si>
    <t>Centre</t>
  </si>
  <si>
    <t>Oui</t>
  </si>
  <si>
    <t>Manque d'espace de stockage;Contraintes budgétaires;Réduire l'accumulation d'objets</t>
  </si>
  <si>
    <t>Oui , avec certaines conditions</t>
  </si>
  <si>
    <t>Bricolage</t>
  </si>
  <si>
    <t>Oui, occasionnellement</t>
  </si>
  <si>
    <t>Oui, entre 10€ et 20€</t>
  </si>
  <si>
    <t>15€</t>
  </si>
  <si>
    <t>Facilité de réservation et d'emprunt;Prix abordable;Durée de prêt flexible</t>
  </si>
  <si>
    <t>Je souhaite être informé(e) des prochaines étapes</t>
  </si>
  <si>
    <t>Camille Bourdais</t>
  </si>
  <si>
    <t>camille.bourdais@yahoo.fr</t>
  </si>
  <si>
    <t>KAC9-AL5V</t>
  </si>
  <si>
    <t>23/05/2025 07:47:03</t>
  </si>
  <si>
    <t>23/05/2025 07:49:44</t>
  </si>
  <si>
    <t>FR</t>
  </si>
  <si>
    <t>Terminé</t>
  </si>
  <si>
    <t>direct</t>
  </si>
  <si>
    <t>Smartphone</t>
  </si>
  <si>
    <t>aa588d67cccf4d2bb8f808dd4fdad167</t>
  </si>
  <si>
    <t>Homme</t>
  </si>
  <si>
    <t>35-44 ans</t>
  </si>
  <si>
    <t>En activité professionnelle</t>
  </si>
  <si>
    <t>Appartement</t>
  </si>
  <si>
    <t>25000</t>
  </si>
  <si>
    <t>Proche du centre</t>
  </si>
  <si>
    <t>Peut-être</t>
  </si>
  <si>
    <t>Manque d'espace de stockage;Préoccupations environnementales;Réduire l'accumulation d'objets</t>
  </si>
  <si>
    <t>Oui , avec certaines conditions</t>
  </si>
  <si>
    <t>Bricolage</t>
  </si>
  <si>
    <t>Non, jamais</t>
  </si>
  <si>
    <t>Oui, entre 10€ et 20€</t>
  </si>
  <si>
    <t>10€</t>
  </si>
  <si>
    <t>Disponibilité des objets;Facilité de réservation et d'emprunt;Prix abordable;Durée de prêt flexible</t>
  </si>
  <si>
    <t>Je souhaite être informé(e) des prochaines étapes</t>
  </si>
  <si>
    <t>Fery Loïc</t>
  </si>
  <si>
    <t>loic_fery@msn.com</t>
  </si>
  <si>
    <t>6QSH-3BVR</t>
  </si>
  <si>
    <t>23/05/2025 08:19:36</t>
  </si>
  <si>
    <t>23/05/2025 08:22:34</t>
  </si>
  <si>
    <t>FR</t>
  </si>
  <si>
    <t>Terminé</t>
  </si>
  <si>
    <t>direct</t>
  </si>
  <si>
    <t>Smartphone</t>
  </si>
  <si>
    <t>aa588d67cccf4d2bb8f808dd4fdad167</t>
  </si>
  <si>
    <t>Non-binaire</t>
  </si>
  <si>
    <t>25-34 ans</t>
  </si>
  <si>
    <t>En activité professionnelle</t>
  </si>
  <si>
    <t>Maison</t>
  </si>
  <si>
    <t>25440</t>
  </si>
  <si>
    <t>Zone rurale</t>
  </si>
  <si>
    <t>Peut-être</t>
  </si>
  <si>
    <t>Contraintes budgétaires;Préoccupations environnementales;Envie de partager des compétences</t>
  </si>
  <si>
    <t>Oui , avec certaines conditions</t>
  </si>
  <si>
    <t>Evènements &amp; fêtes</t>
  </si>
  <si>
    <t>Non, jamais</t>
  </si>
  <si>
    <t>Oui, entre 20€ et 30€</t>
  </si>
  <si>
    <t>10€</t>
  </si>
  <si>
    <t>Facilité de réservation et d'emprunt;Prix abordable</t>
  </si>
  <si>
    <t>Je souhaite être informé(e) des prochaines étapes</t>
  </si>
  <si>
    <t>delessard juliet</t>
  </si>
  <si>
    <t>juliette.delessard@gmail.com</t>
  </si>
  <si>
    <t>PC5G-FY9Y</t>
  </si>
  <si>
    <t>23/05/2025 08:33:56</t>
  </si>
  <si>
    <t>23/05/2025 08:36:59</t>
  </si>
  <si>
    <t>FR</t>
  </si>
  <si>
    <t>Terminé</t>
  </si>
  <si>
    <t>direct</t>
  </si>
  <si>
    <t>Smartphone</t>
  </si>
  <si>
    <t>aa588d67cccf4d2bb8f808dd4fdad167</t>
  </si>
  <si>
    <t>Femme</t>
  </si>
  <si>
    <t>35-44 ans</t>
  </si>
  <si>
    <t>En activité professionnelle</t>
  </si>
  <si>
    <t>Appartement</t>
  </si>
  <si>
    <t>25000</t>
  </si>
  <si>
    <t>Proche du centre</t>
  </si>
  <si>
    <t>Oui</t>
  </si>
  <si>
    <t>Manque d'espace de stockage;Contraintes budgétaires;Préoccupations environnementales;Réduire l'accumulation d'objets;Éviter les frais d'entretien</t>
  </si>
  <si>
    <t>Oui , avec certaines conditions</t>
  </si>
  <si>
    <t>Camping / Randonnée</t>
  </si>
  <si>
    <t>Non, jamais</t>
  </si>
  <si>
    <t>Oui, entre 10€ et 20€</t>
  </si>
  <si>
    <t>20</t>
  </si>
  <si>
    <t>Disponibilité des objets;Facilité de réservation et d'emprunt;Prix abordable;Support et explications d'utilisation</t>
  </si>
  <si>
    <t>Je souhaite être informé(e) des prochaines étapes</t>
  </si>
  <si>
    <t>Géraldine Frébault</t>
  </si>
  <si>
    <t>geraldinefreb@gmail.com</t>
  </si>
  <si>
    <t>0667646208</t>
  </si>
  <si>
    <t>SJAV-28GZ</t>
  </si>
  <si>
    <t>23/05/2025 08:41:03</t>
  </si>
  <si>
    <t>23/05/2025 08:44:43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</si>
  <si>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</si>
  <si>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</si>
  <si>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</si>
  <si>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</si>
  <si>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</si>
  <si>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</si>
  <si>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</si>
  <si>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</si>
  <si>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Maison</t>
  </si>
  <si>
    <t>25000</t>
  </si>
  <si>
    <t>Proche du centre</t>
  </si>
  <si>
    <t>Oui</t>
  </si>
  <si>
    <t>Contraintes budgétaires;Réduire l'accumulation d'objets;Éviter les frais d'entretien</t>
  </si>
  <si>
    <t>Non , je souhaite uniquement emprunter</t>
  </si>
  <si>
    <t>Non, jamais</t>
  </si>
  <si>
    <t>Oui, entre 10€ et 20€</t>
  </si>
  <si>
    <t>10€</t>
  </si>
  <si>
    <t>Disponibilité des objets;Facilité de réservation et d'emprunt;Prix abordable;Support et explications d'utilisation</t>
  </si>
  <si>
    <t>Je souhaite être informé(e) des prochaines étapes</t>
  </si>
  <si>
    <t>Lucie Heller</t>
  </si>
  <si>
    <t>lucie.heller1@proton.me</t>
  </si>
  <si>
    <t>EK9L-GTD7</t>
  </si>
  <si>
    <t>23/05/2025 08:42:45</t>
  </si>
  <si>
    <t>23/05/2025 08:45:22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</si>
  <si>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</si>
  <si>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</si>
  <si>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</si>
  <si>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</si>
  <si>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</si>
  <si>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</si>
  <si>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</si>
  <si>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</si>
  <si>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Appartement</t>
  </si>
  <si>
    <t>25000</t>
  </si>
  <si>
    <t>Proche du centre</t>
  </si>
  <si>
    <t>Oui</t>
  </si>
  <si>
    <t>Préoccupations environnementales;Envie de partager des compétences;Réduire l'accumulation d'objets</t>
  </si>
  <si>
    <t>Oui , avec certaines conditions</t>
  </si>
  <si>
    <t>Cuisine</t>
  </si>
  <si>
    <t>Non, jamais</t>
  </si>
  <si>
    <t>Oui, entre 20€ et 30€</t>
  </si>
  <si>
    <t>Autre :</t>
  </si>
  <si>
    <t>Dur à dire, j'aurais besoin d'un exemple d'objet pour me prononcer</t>
  </si>
  <si>
    <t>Facilité de réservation et d'emprunt;Prix abordable;Durée de prêt flexible</t>
  </si>
  <si>
    <t>Je ne souhaite pas être tenu(e) informé</t>
  </si>
  <si>
    <t>CKDF-RB7X</t>
  </si>
  <si>
    <t>23/05/2025 09:32:39</t>
  </si>
  <si>
    <t>23/05/2025 09:36:16</t>
  </si>
  <si>
    <t>FR</t>
  </si>
  <si>
    <t>Terminé</t>
  </si>
  <si>
    <t>direct</t>
  </si>
  <si>
    <t>Smartphone</t>
  </si>
  <si>
    <t>aa588d67cccf4d2bb8f808dd4fdad167</t>
  </si>
  <si>
    <t>Femme</t>
  </si>
  <si>
    <t>25-34 ans</t>
  </si>
  <si>
    <t>En activité professionnelle</t>
  </si>
  <si>
    <t>Appartement</t>
  </si>
  <si>
    <t>25000</t>
  </si>
  <si>
    <t>Centre</t>
  </si>
  <si>
    <t>Oui</t>
  </si>
  <si>
    <t>Manque d'espace de stockage;Contraintes budgétaires;Préoccupations environnementales;Envie de partager des compétences;Réduire l'accumulation d'objets</t>
  </si>
  <si>
    <t>Oui , avec certaines conditions</t>
  </si>
  <si>
    <t>Ménage</t>
  </si>
  <si>
    <t>Oui, occasionnellement</t>
  </si>
  <si>
    <t>Oui, entre 20€ et 30€</t>
  </si>
  <si>
    <t>15€</t>
  </si>
  <si>
    <t>Disponibilité des objets;Facilité de réservation et d'emprunt;Prix abordable;Durée de prêt flexible</t>
  </si>
  <si>
    <t>Je souhaite être informé(e) des prochaines étapes</t>
  </si>
  <si>
    <t>Hocquet Marie</t>
  </si>
  <si>
    <t>Marie.Hocquet.1996@gmail.com</t>
  </si>
  <si>
    <t>0638053370</t>
  </si>
  <si>
    <t>R63J-TBSH</t>
  </si>
  <si>
    <t>23/05/2025 09:22:16</t>
  </si>
  <si>
    <t>23/05/2025 09:48:12</t>
  </si>
  <si>
    <t>FR</t>
  </si>
  <si>
    <t>Terminé</t>
  </si>
  <si>
    <t>direct</t>
  </si>
  <si>
    <t>Smartphone</t>
  </si>
  <si>
    <t>aa588d67cccf4d2bb8f808dd4fdad167</t>
  </si>
  <si>
    <t>Homme</t>
  </si>
  <si>
    <t>35-44 ans</t>
  </si>
  <si>
    <t>En activité professionnelle</t>
  </si>
  <si>
    <t>Maison</t>
  </si>
  <si>
    <t>25000</t>
  </si>
  <si>
    <t>Centre</t>
  </si>
  <si>
    <t>Peut-être</t>
  </si>
  <si>
    <t>Manque d'espace de stockage;Contraintes budgétaires;Préoccupations environnementales;Envie de partager des compétences;Réduire l'accumulation d'objets;Éviter les frais d'entretien</t>
  </si>
  <si>
    <t>Oui , sans condition particulière</t>
  </si>
  <si>
    <t>Bricolage</t>
  </si>
  <si>
    <t>Oui, occasionnellement</t>
  </si>
  <si>
    <t>Oui, entre 1€ et 10€</t>
  </si>
  <si>
    <t>10€</t>
  </si>
  <si>
    <t>Disponibilité des objets;Facilité de réservation et d'emprunt;Prix abordable;Durée de prêt flexible</t>
  </si>
  <si>
    <t>Je ne souhaite pas être tenu(e) informé</t>
  </si>
  <si>
    <t>5UDD-7PX6</t>
  </si>
  <si>
    <t>23/05/2025 10:53:57</t>
  </si>
  <si>
    <t>23/05/2025 10:55:21</t>
  </si>
  <si>
    <t>FR</t>
  </si>
  <si>
    <t>Terminé</t>
  </si>
  <si>
    <t>direct</t>
  </si>
  <si>
    <t>Smartphone</t>
  </si>
  <si>
    <t>aa588d67cccf4d2bb8f808dd4fdad167</t>
  </si>
  <si>
    <t>Homme</t>
  </si>
  <si>
    <t>45-54 ans</t>
  </si>
  <si>
    <t>En activité professionnelle</t>
  </si>
  <si>
    <t>Appartement</t>
  </si>
  <si>
    <t>25230</t>
  </si>
  <si>
    <t>Proche du centre</t>
  </si>
  <si>
    <t>Oui</t>
  </si>
  <si>
    <t>Manque d'espace de stockage;Contraintes budgétaires;Préoccupations environnementales;Envie de partager des compétences;Autre :</t>
  </si>
  <si>
    <t>S’inscrire dans une démarche moderne et nécessaire pour continuer à profiter des bienfaits du vivre ensemble</t>
  </si>
  <si>
    <t>Oui , avec certaines conditions</t>
  </si>
  <si>
    <t>Matériel sportif</t>
  </si>
  <si>
    <t>Oui, occasionnellement</t>
  </si>
  <si>
    <t>Oui, entre 10€ et 20€</t>
  </si>
  <si>
    <t>10€</t>
  </si>
  <si>
    <t>Disponibilité des objets;Facilité de réservation et d'emprunt;Prix abordable</t>
  </si>
  <si>
    <t>Je souhaite être informé(e) des prochaines étapes</t>
  </si>
  <si>
    <t>Jean-Phi Putaud</t>
  </si>
  <si>
    <t>contactjeanphi@gmail.com</t>
  </si>
  <si>
    <t>0698895810</t>
  </si>
  <si>
    <t>5864-WS9P</t>
  </si>
  <si>
    <t>23/05/2025 18:36:33</t>
  </si>
  <si>
    <t>23/05/2025 18:39:20</t>
  </si>
  <si>
    <t>FR</t>
  </si>
  <si>
    <t>Terminé</t>
  </si>
  <si>
    <t>direct</t>
  </si>
  <si>
    <t>Smartphone</t>
  </si>
  <si>
    <t>aa588d67cccf4d2bb8f808dd4fdad167</t>
  </si>
  <si>
    <t>Femme</t>
  </si>
  <si>
    <t>55-64 ans</t>
  </si>
  <si>
    <t>En activité professionnelle</t>
  </si>
  <si>
    <t>Appartement</t>
  </si>
  <si>
    <t>25000</t>
  </si>
  <si>
    <t>Proche du centre</t>
  </si>
  <si>
    <t>Oui</t>
  </si>
  <si>
    <t>Préoccupations environnementales;Envie de partager des compétences;Réduire l'accumulation d'objets</t>
  </si>
  <si>
    <t>Non , je souhaite uniquement emprunter</t>
  </si>
  <si>
    <t>Oui, occasionnellement</t>
  </si>
  <si>
    <t>Oui, entre 1€ et 10€</t>
  </si>
  <si>
    <t>10€</t>
  </si>
  <si>
    <t>Facilité de réservation et d'emprunt;Durée de prêt flexible;Autre :</t>
  </si>
  <si>
    <t>Garantie du bon état de l'objet lors de l'emprunt</t>
  </si>
  <si>
    <t>Je souhaite être informé(e) des prochaines étapes</t>
  </si>
  <si>
    <t>Buret Christine</t>
  </si>
  <si>
    <t>chrisburet@lilo.org</t>
  </si>
  <si>
    <t>CWZU-FLDD</t>
  </si>
  <si>
    <t>25/05/2025 23:05:51</t>
  </si>
  <si>
    <t>25/05/2025 23:13:00</t>
  </si>
  <si>
    <t>FR</t>
  </si>
  <si>
    <t>Terminé</t>
  </si>
  <si>
    <t>direct</t>
  </si>
  <si>
    <t>Smartphone</t>
  </si>
  <si>
    <t>aa588d67cccf4d2bb8f808dd4fdad167</t>
  </si>
  <si>
    <t>Autre : :2</t>
  </si>
  <si>
    <t>Autre : :3</t>
  </si>
  <si>
    <t>Autre : :4</t>
  </si>
  <si>
    <t>Genre</t>
  </si>
  <si>
    <t>Age</t>
  </si>
  <si>
    <t>Activité</t>
  </si>
  <si>
    <t>logement</t>
  </si>
  <si>
    <t>Code postal</t>
  </si>
  <si>
    <t>Département</t>
  </si>
  <si>
    <t>Emplacement du domicile</t>
  </si>
  <si>
    <t>intérêt pour une BO à Besançon</t>
  </si>
  <si>
    <t>Motivations</t>
  </si>
  <si>
    <t>à reprendre</t>
  </si>
  <si>
    <t>Partage d'objets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</si>
</sst>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2" xfId="0" applyFont="1" applyFill="1" applyBorder="1"/>
    <xf numFmtId="0" fontId="0" fillId="0" borderId="3" xfId="0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7C1-4B04-9367-7B3BDA070D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C1-4B04-9367-7B3BDA070D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C1-4B04-9367-7B3BDA070D57}"/>
              </c:ext>
            </c:extLst>
          </c:dPt>
          <c:dLbls>
            <c:dLbl>
              <c:idx val="0"/>
              <c:layout>
                <c:manualLayout>
                  <c:x val="2.6342806508615573E-2"/>
                  <c:y val="0.11304273520944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C1-4B04-9367-7B3BDA070D57}"/>
                </c:ext>
              </c:extLst>
            </c:dLbl>
            <c:dLbl>
              <c:idx val="1"/>
              <c:layout>
                <c:manualLayout>
                  <c:x val="-6.4191709762250235E-2"/>
                  <c:y val="-0.158884828422460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C1-4B04-9367-7B3BDA070D57}"/>
                </c:ext>
              </c:extLst>
            </c:dLbl>
            <c:dLbl>
              <c:idx val="2"/>
              <c:layout>
                <c:manualLayout>
                  <c:x val="-0.10796651939631091"/>
                  <c:y val="1.03674249970858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C1-4B04-9367-7B3BDA070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Feuil1!$A$2:$A$4</c:f>
              <c:strCache>
                <c:ptCount val="3"/>
                <c:pt idx="0">
                  <c:v>Homme</c:v>
                </c:pt>
                <c:pt idx="1">
                  <c:v>Femme</c:v>
                </c:pt>
                <c:pt idx="2">
                  <c:v>Non-binaire</c:v>
                </c:pt>
              </c:strCache>
            </c:strRef>
          </c:cat>
          <c:val>
            <c:numRef>
              <c:f>Feuil1!$B$2:$B$4</c:f>
              <c:numCache>
                <c:formatCode>General</c:formatCode>
                <c:ptCount val="3"/>
                <c:pt idx="0">
                  <c:v>25</c:v>
                </c:pt>
                <c:pt idx="1">
                  <c:v>62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1-4B04-9367-7B3BDA070D5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36-4E68-B0BE-9279CC062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B36-4E68-B0BE-9279CC062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36-4E68-B0BE-9279CC062E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36-4E68-B0BE-9279CC062E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6-4E68-B0BE-9279CC062E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36-4E68-B0BE-9279CC062E1C}"/>
              </c:ext>
            </c:extLst>
          </c:dPt>
          <c:dLbls>
            <c:dLbl>
              <c:idx val="0"/>
              <c:layout>
                <c:manualLayout>
                  <c:x val="3.2987544627241461E-2"/>
                  <c:y val="6.803204133318455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36-4E68-B0BE-9279CC062E1C}"/>
                </c:ext>
              </c:extLst>
            </c:dLbl>
            <c:dLbl>
              <c:idx val="1"/>
              <c:layout>
                <c:manualLayout>
                  <c:x val="-9.0662715737832942E-3"/>
                  <c:y val="-4.8488045363711063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36-4E68-B0BE-9279CC062E1C}"/>
                </c:ext>
              </c:extLst>
            </c:dLbl>
            <c:dLbl>
              <c:idx val="2"/>
              <c:layout>
                <c:manualLayout>
                  <c:x val="-3.95010297334853E-2"/>
                  <c:y val="-6.673945340387716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36-4E68-B0BE-9279CC062E1C}"/>
                </c:ext>
              </c:extLst>
            </c:dLbl>
            <c:dLbl>
              <c:idx val="3"/>
              <c:layout>
                <c:manualLayout>
                  <c:x val="-1.706640786324232E-2"/>
                  <c:y val="2.942226382848815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36-4E68-B0BE-9279CC062E1C}"/>
                </c:ext>
              </c:extLst>
            </c:dLbl>
            <c:dLbl>
              <c:idx val="4"/>
              <c:layout>
                <c:manualLayout>
                  <c:x val="-1.1908016705350707E-2"/>
                  <c:y val="1.774368769022911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36-4E68-B0BE-9279CC062E1C}"/>
                </c:ext>
              </c:extLst>
            </c:dLbl>
            <c:dLbl>
              <c:idx val="5"/>
              <c:layout>
                <c:manualLayout>
                  <c:x val="4.5582778947565747E-3"/>
                  <c:y val="1.187855671985471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36-4E68-B0BE-9279CC062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Feuil1!$C$2:$C$7</c:f>
              <c:strCache>
                <c:ptCount val="6"/>
                <c:pt idx="0">
                  <c:v>18-24 ans</c:v>
                </c:pt>
                <c:pt idx="1">
                  <c:v>25-34 ans</c:v>
                </c:pt>
                <c:pt idx="2">
                  <c:v>35-44 ans</c:v>
                </c:pt>
                <c:pt idx="3">
                  <c:v>45-54 ans</c:v>
                </c:pt>
                <c:pt idx="4">
                  <c:v>55-64 ans</c:v>
                </c:pt>
                <c:pt idx="5">
                  <c:v>65 ans et plus</c:v>
                </c:pt>
              </c:strCache>
            </c:strRef>
          </c:cat>
          <c:val>
            <c:numRef>
              <c:f>Feuil1!$D$2:$D$7</c:f>
              <c:numCache>
                <c:formatCode>General</c:formatCode>
                <c:ptCount val="6"/>
                <c:pt idx="0">
                  <c:v>43</c:v>
                </c:pt>
                <c:pt idx="1">
                  <c:v>12</c:v>
                </c:pt>
                <c:pt idx="2">
                  <c:v>22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6-4E68-B0BE-9279CC062E1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Activité</a:t>
            </a:r>
          </a:p>
        </c:rich>
      </c:tx>
      <c:layout>
        <c:manualLayout>
          <c:xMode val="edge"/>
          <c:yMode val="edge"/>
          <c:x val="5.2047479270284323E-2"/>
          <c:y val="4.8751533681983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6072436485487858"/>
          <c:y val="0.22793756145526056"/>
          <c:w val="0.27855153573036379"/>
          <c:h val="0.50780191469429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8C-4876-B314-FB4D18066B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8C-4876-B314-FB4D18066BB0}"/>
              </c:ext>
            </c:extLst>
          </c:dPt>
          <c:dLbls>
            <c:dLbl>
              <c:idx val="2"/>
              <c:layout>
                <c:manualLayout>
                  <c:x val="-0.12115465794876051"/>
                  <c:y val="6.093941710247946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8C-4876-B314-FB4D18066BB0}"/>
                </c:ext>
              </c:extLst>
            </c:dLbl>
            <c:dLbl>
              <c:idx val="3"/>
              <c:layout>
                <c:manualLayout>
                  <c:x val="0.1750011725926540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8C-4876-B314-FB4D18066B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Feuil1!$E$2:$E$5</c:f>
              <c:strCache>
                <c:ptCount val="4"/>
                <c:pt idx="0">
                  <c:v>En activité professionnelle</c:v>
                </c:pt>
                <c:pt idx="1">
                  <c:v>Étudiant(e)</c:v>
                </c:pt>
                <c:pt idx="2">
                  <c:v>Retraité(e)</c:v>
                </c:pt>
                <c:pt idx="3">
                  <c:v>Demandeur / Demandeuse d'emploi</c:v>
                </c:pt>
              </c:strCache>
            </c:strRef>
          </c:cat>
          <c:val>
            <c:numRef>
              <c:f>Feuil1!$F$2:$F$5</c:f>
              <c:numCache>
                <c:formatCode>General</c:formatCode>
                <c:ptCount val="4"/>
                <c:pt idx="0">
                  <c:v>43</c:v>
                </c:pt>
                <c:pt idx="1">
                  <c:v>42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C-4876-B314-FB4D18066BB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889976131624326E-3"/>
          <c:y val="0.82120148421712769"/>
          <c:w val="0.88899294141630358"/>
          <c:h val="0.173392872351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Logement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B60-4183-8DCD-91E749480BC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60-4183-8DCD-91E749480BC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60-4183-8DCD-91E749480BC1}"/>
              </c:ext>
            </c:extLst>
          </c:dPt>
          <c:dLbls>
            <c:dLbl>
              <c:idx val="0"/>
              <c:layout>
                <c:manualLayout>
                  <c:x val="-1.1965120703809576E-3"/>
                  <c:y val="6.28129873552504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60-4183-8DCD-91E749480BC1}"/>
                </c:ext>
              </c:extLst>
            </c:dLbl>
            <c:dLbl>
              <c:idx val="1"/>
              <c:layout>
                <c:manualLayout>
                  <c:x val="-4.3635656855052281E-2"/>
                  <c:y val="-3.22835219563570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60-4183-8DCD-91E749480BC1}"/>
                </c:ext>
              </c:extLst>
            </c:dLbl>
            <c:dLbl>
              <c:idx val="2"/>
              <c:layout>
                <c:manualLayout>
                  <c:x val="0.21681872444456265"/>
                  <c:y val="5.14400978101322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60-4183-8DCD-91E749480B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Feuil1!$G$2:$G$4</c:f>
              <c:strCache>
                <c:ptCount val="3"/>
                <c:pt idx="0">
                  <c:v>Appartement</c:v>
                </c:pt>
                <c:pt idx="1">
                  <c:v>Maison</c:v>
                </c:pt>
                <c:pt idx="2">
                  <c:v>Autre :</c:v>
                </c:pt>
              </c:strCache>
            </c:strRef>
          </c:cat>
          <c:val>
            <c:numRef>
              <c:f>Feuil1!$H$2:$H$4</c:f>
              <c:numCache>
                <c:formatCode>General</c:formatCode>
                <c:ptCount val="3"/>
                <c:pt idx="0">
                  <c:v>43</c:v>
                </c:pt>
                <c:pt idx="1">
                  <c:v>42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0-4183-8DCD-91E749480BC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Département de résidence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52-4DF8-8AB0-904429969B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152-4DF8-8AB0-904429969B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52-4DF8-8AB0-904429969B4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152-4DF8-8AB0-904429969B47}"/>
              </c:ext>
            </c:extLst>
          </c:dPt>
          <c:dLbls>
            <c:dLbl>
              <c:idx val="0"/>
              <c:layout>
                <c:manualLayout>
                  <c:x val="2.5280621172353458E-2"/>
                  <c:y val="4.73749635462232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52-4DF8-8AB0-904429969B47}"/>
                </c:ext>
              </c:extLst>
            </c:dLbl>
            <c:dLbl>
              <c:idx val="1"/>
              <c:layout>
                <c:manualLayout>
                  <c:x val="-5.7410104986876639E-2"/>
                  <c:y val="7.393190434528931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52-4DF8-8AB0-904429969B47}"/>
                </c:ext>
              </c:extLst>
            </c:dLbl>
            <c:dLbl>
              <c:idx val="2"/>
              <c:layout>
                <c:manualLayout>
                  <c:x val="-0.14886570428696419"/>
                  <c:y val="8.91943715368912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52-4DF8-8AB0-904429969B47}"/>
                </c:ext>
              </c:extLst>
            </c:dLbl>
            <c:dLbl>
              <c:idx val="3"/>
              <c:layout>
                <c:manualLayout>
                  <c:x val="6.8719816272965875E-2"/>
                  <c:y val="2.98993875765529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52-4DF8-8AB0-904429969B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Feuil1!$I$2:$I$5</c:f>
              <c:numCache>
                <c:formatCode>General</c:formatCode>
                <c:ptCount val="4"/>
                <c:pt idx="0">
                  <c:v>25</c:v>
                </c:pt>
                <c:pt idx="1">
                  <c:v>90</c:v>
                </c:pt>
                <c:pt idx="2">
                  <c:v>68</c:v>
                </c:pt>
                <c:pt idx="3">
                  <c:v>67</c:v>
                </c:pt>
              </c:numCache>
            </c:numRef>
          </c:cat>
          <c:val>
            <c:numRef>
              <c:f>Feuil1!$J$2:$J$5</c:f>
              <c:numCache>
                <c:formatCode>General</c:formatCode>
                <c:ptCount val="4"/>
                <c:pt idx="0">
                  <c:v>52</c:v>
                </c:pt>
                <c:pt idx="1">
                  <c:v>24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2-4DF8-8AB0-904429969B4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Emplacement domicile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6E-4DA4-BCE5-872DF07EBC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6E-4DA4-BCE5-872DF07EBC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6E-4DA4-BCE5-872DF07EBC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6E-4DA4-BCE5-872DF07EBC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6E-4DA4-BCE5-872DF07EBC9E}"/>
              </c:ext>
            </c:extLst>
          </c:dPt>
          <c:dLbls>
            <c:dLbl>
              <c:idx val="0"/>
              <c:layout>
                <c:manualLayout>
                  <c:x val="-5.07523346043629E-3"/>
                  <c:y val="1.334079045826419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6E-4DA4-BCE5-872DF07EBC9E}"/>
                </c:ext>
              </c:extLst>
            </c:dLbl>
            <c:dLbl>
              <c:idx val="1"/>
              <c:layout>
                <c:manualLayout>
                  <c:x val="4.7074940868199314E-2"/>
                  <c:y val="5.402714206140253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6E-4DA4-BCE5-872DF07EBC9E}"/>
                </c:ext>
              </c:extLst>
            </c:dLbl>
            <c:dLbl>
              <c:idx val="2"/>
              <c:layout>
                <c:manualLayout>
                  <c:x val="-1.0467290399006832E-2"/>
                  <c:y val="9.598480051813013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6E-4DA4-BCE5-872DF07EBC9E}"/>
                </c:ext>
              </c:extLst>
            </c:dLbl>
            <c:dLbl>
              <c:idx val="3"/>
              <c:layout>
                <c:manualLayout>
                  <c:x val="-4.9405077596006451E-2"/>
                  <c:y val="-3.924055165199640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6E-4DA4-BCE5-872DF07EBC9E}"/>
                </c:ext>
              </c:extLst>
            </c:dLbl>
            <c:dLbl>
              <c:idx val="4"/>
              <c:layout>
                <c:manualLayout>
                  <c:x val="-2.5553661143660061E-2"/>
                  <c:y val="-5.738783379736411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6E-4DA4-BCE5-872DF07EBC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Feuil1!$K$2:$K$6</c:f>
              <c:strCache>
                <c:ptCount val="5"/>
                <c:pt idx="0">
                  <c:v>Hyper-centre</c:v>
                </c:pt>
                <c:pt idx="1">
                  <c:v>Centre</c:v>
                </c:pt>
                <c:pt idx="2">
                  <c:v>Proche du centre</c:v>
                </c:pt>
                <c:pt idx="3">
                  <c:v>Périphérie</c:v>
                </c:pt>
                <c:pt idx="4">
                  <c:v>Zone rurale</c:v>
                </c:pt>
              </c:strCache>
            </c:strRef>
          </c:cat>
          <c:val>
            <c:numRef>
              <c:f>Feuil1!$L$2:$L$6</c:f>
              <c:numCache>
                <c:formatCode>General</c:formatCode>
                <c:ptCount val="5"/>
                <c:pt idx="0">
                  <c:v>4</c:v>
                </c:pt>
                <c:pt idx="1">
                  <c:v>14</c:v>
                </c:pt>
                <c:pt idx="2">
                  <c:v>50</c:v>
                </c:pt>
                <c:pt idx="3">
                  <c:v>8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E-4DA4-BCE5-872DF07EBC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intérêt pour une BO à Besançon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58-4B39-AD2B-E6570635C6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658-4B39-AD2B-E6570635C6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58-4B39-AD2B-E6570635C648}"/>
              </c:ext>
            </c:extLst>
          </c:dPt>
          <c:dLbls>
            <c:dLbl>
              <c:idx val="0"/>
              <c:layout>
                <c:manualLayout>
                  <c:x val="7.2572178477689269E-3"/>
                  <c:y val="2.459536307961504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58-4B39-AD2B-E6570635C648}"/>
                </c:ext>
              </c:extLst>
            </c:dLbl>
            <c:dLbl>
              <c:idx val="1"/>
              <c:layout>
                <c:manualLayout>
                  <c:x val="-6.6821522309711306E-2"/>
                  <c:y val="-8.681102362204894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58-4B39-AD2B-E6570635C648}"/>
                </c:ext>
              </c:extLst>
            </c:dLbl>
            <c:dLbl>
              <c:idx val="2"/>
              <c:layout>
                <c:manualLayout>
                  <c:x val="-6.4698600174978124E-2"/>
                  <c:y val="2.019211140274130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58-4B39-AD2B-E6570635C6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Feuil1!$M$2:$M$4</c:f>
              <c:strCache>
                <c:ptCount val="3"/>
                <c:pt idx="0">
                  <c:v>Oui</c:v>
                </c:pt>
                <c:pt idx="1">
                  <c:v>Non</c:v>
                </c:pt>
                <c:pt idx="2">
                  <c:v>Peut-être</c:v>
                </c:pt>
              </c:strCache>
            </c:strRef>
          </c:cat>
          <c:val>
            <c:numRef>
              <c:f>Feuil1!$N$2:$N$4</c:f>
              <c:numCache>
                <c:formatCode>General</c:formatCode>
                <c:ptCount val="3"/>
                <c:pt idx="0">
                  <c:v>51</c:v>
                </c:pt>
                <c:pt idx="1">
                  <c:v>19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8-4B39-AD2B-E6570635C6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Partage d'objets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3A5-42D1-B952-AD657EFF3B9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3A5-42D1-B952-AD657EFF3B9A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Feuil1!$Q$2:$Q$3</c:f>
              <c:strCache>
                <c:ptCount val="2"/>
                <c:pt idx="0">
                  <c:v>Oui , avec certaines conditions</c:v>
                </c:pt>
                <c:pt idx="1">
                  <c:v>Non , je souhaite uniquement emprunter</c:v>
                </c:pt>
              </c:strCache>
            </c:strRef>
          </c:cat>
          <c:val>
            <c:numRef>
              <c:f>Feuil1!$R$2:$R$3</c:f>
              <c:numCache>
                <c:formatCode>General</c:formatCode>
                <c:ptCount val="2"/>
                <c:pt idx="0">
                  <c:v>41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5-42D1-B952-AD657EFF3B9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32916</xdr:rowOff>
    </xdr:from>
    <xdr:to>
      <xdr:col>4</xdr:col>
      <xdr:colOff>453542</xdr:colOff>
      <xdr:row>19</xdr:row>
      <xdr:rowOff>117043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403564-852A-B86E-35F2-0043F5552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457199</xdr:colOff>
      <xdr:row>8</xdr:row>
      <xdr:rowOff>58521</xdr:rowOff>
    </xdr:from>
    <xdr:to>
      <xdr:col>9</xdr:col>
      <xdr:colOff>0</xdr:colOff>
      <xdr:row>19</xdr:row>
      <xdr:rowOff>117042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0D4D9BE-F6BB-F39C-979C-CF2D21DF3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804672</xdr:colOff>
      <xdr:row>8</xdr:row>
      <xdr:rowOff>69495</xdr:rowOff>
    </xdr:from>
    <xdr:to>
      <xdr:col>13</xdr:col>
      <xdr:colOff>475488</xdr:colOff>
      <xdr:row>19</xdr:row>
      <xdr:rowOff>124359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3351A82-6F0F-E733-53F6-F439CCC16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501614</xdr:colOff>
      <xdr:row>8</xdr:row>
      <xdr:rowOff>41801</xdr:rowOff>
    </xdr:from>
    <xdr:to>
      <xdr:col>18</xdr:col>
      <xdr:colOff>428463</xdr:colOff>
      <xdr:row>19</xdr:row>
      <xdr:rowOff>101890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C7A023F-69F6-252B-6E68-44E878E24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216841</xdr:colOff>
      <xdr:row>20</xdr:row>
      <xdr:rowOff>135854</xdr:rowOff>
    </xdr:from>
    <xdr:to>
      <xdr:col>4</xdr:col>
      <xdr:colOff>365759</xdr:colOff>
      <xdr:row>32</xdr:row>
      <xdr:rowOff>164590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32C750F-171D-46C7-F087-B46BE4EAD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571230</xdr:colOff>
      <xdr:row>20</xdr:row>
      <xdr:rowOff>163517</xdr:rowOff>
    </xdr:from>
    <xdr:to>
      <xdr:col>8</xdr:col>
      <xdr:colOff>602429</xdr:colOff>
      <xdr:row>33</xdr:row>
      <xdr:rowOff>20437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FA711E74-AFBA-B643-8052-88BAE3E37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37652</xdr:colOff>
      <xdr:row>21</xdr:row>
      <xdr:rowOff>86061</xdr:rowOff>
    </xdr:from>
    <xdr:to>
      <xdr:col>13</xdr:col>
      <xdr:colOff>180730</xdr:colOff>
      <xdr:row>33</xdr:row>
      <xdr:rowOff>103274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8D4DE26-C581-6BD2-6AF6-1B9519AA4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407714</xdr:colOff>
      <xdr:row>21</xdr:row>
      <xdr:rowOff>77454</xdr:rowOff>
    </xdr:from>
    <xdr:to>
      <xdr:col>17</xdr:col>
      <xdr:colOff>335639</xdr:colOff>
      <xdr:row>33</xdr:row>
      <xdr:rowOff>154910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B4ED61E-6E4A-F0C9-4081-74B5EA78D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E28B7-71B5-4526-AA0B-1D8D4062C312}" name="Tableau1" displayName="Tableau1" ref="A1:AJ91" totalsRowShown="0">
  <autoFilter ref="A1:AJ91" xr:uid="{A2AE28B7-71B5-4526-AA0B-1D8D4062C312}"/>
  <tableColumns count="36">
    <tableColumn id="1" xr3:uid="{0E2A5342-B631-4D7E-8B24-9CFCE90D3560}" name="N°Obs"/>
    <tableColumn id="2" xr3:uid="{50787515-11D6-45D5-9B93-E96F132AE318}" name="Quels est votre genre ?"/>
    <tableColumn id="3" xr3:uid="{979C05A3-15C0-4248-AFAA-8F1554D48040}" name="Dans quelle tranche d'âge vous situez-vous ?"/>
    <tableColumn id="4" xr3:uid="{AC1FFBFC-16FD-4928-8CB6-A9EA6CBA1386}" name="Quelle est votre situation professionnelle actuelle ?"/>
    <tableColumn id="5" xr3:uid="{F5F79B3E-9715-437B-ABA0-2C15674EA047}" name="Autre :"/>
    <tableColumn id="6" xr3:uid="{4AD623EB-0B02-4F53-8888-C48850F99948}" name="Dans quel type de logement vivez-vous actuellement ?"/>
    <tableColumn id="7" xr3:uid="{9D28F50C-B012-4503-B11A-F84D75171FFE}" name="Autre : :"/>
    <tableColumn id="8" xr3:uid="{F26D800F-715B-4948-B475-E7EBBAFD4CA5}" name="Quel est le code postal de votre lieu de résidence ?"/>
    <tableColumn id="36" xr3:uid="{FCF652FC-DE95-4EAF-883C-81045A41EC41}" name="Département"/>
    <tableColumn id="9" xr3:uid="{44D520E2-4788-4E76-BA33-F1C848354163}" name="Comment définiriez-vous l'emplacement de votre domicile par rapport au centre-ville ?"/>
    <tableColumn id="10" xr3:uid="{83A5F955-5ADF-4699-AC19-24591E8575B7}" name="Une bibliothèque d'objets à Besançon vous intéresserait-elle ?"/>
    <tableColumn id="11" xr3:uid="{0DD453C6-4819-421F-A844-36BE50E26ACE}" name="Quelles raisons vous motiveraient à utiliser une bibliothèque d'objets ? (Plusieurs réponses possibles)"/>
    <tableColumn id="12" xr3:uid="{56ADC73B-164F-4343-8BE3-5AE5AB54DDA1}" name="Autre : :2"/>
    <tableColumn id="13" xr3:uid="{95BF68D6-4550-4F93-ABA7-A3E693B6646C}" name="Accepteriez-vous de partager certains de vos objets personnels avec d'autres utilisateurs ?"/>
    <tableColumn id="14" xr3:uid="{5E1BCC29-EDA1-433B-9C3C-314D67E91F42}" name="Si oui, quels types d'objets seriez-vous prêt(e) à partager ?"/>
    <tableColumn id="15" xr3:uid="{5DC1AA4F-E19F-40DD-92BF-1DE3C751290B}" name="Avez-vous déjà utilisé des services de location ou de prêt d'objets ?_"/>
    <tableColumn id="16" xr3:uid="{298EA949-AB4F-448A-8B24-E247C8253F50}" name="Accepteriez-vous de payer une cotisation pour accéder à une bibliothèque d'objets ?"/>
    <tableColumn id="17" xr3:uid="{EB95BF49-B1F5-460D-973C-A568115DD537}" name="Pour un objet d'une valeur de 200€ neuf, quel prix maximum de location journalière seriez-vous prêt(e) à payer ?"/>
    <tableColumn id="18" xr3:uid="{241C8B85-5FA4-48C4-9042-B0BCEECFFA60}" name="Autre : :3"/>
    <tableColumn id="19" xr3:uid="{E73B75C6-0938-4940-9AA6-EC7698EC0C15}" name="Quels critères considérez-vous comme essentiels pour utiliser un service de prêt d'objets ? (Plusieurs réponses possibles)"/>
    <tableColumn id="20" xr3:uid="{FE4E2AFA-A787-4B3F-8956-CA0E56D28078}" name="Autre : :4"/>
    <tableColumn id="21" xr3:uid="{F111239D-2CCC-4120-AB35-B2421DF6931F}" name="Souhaitez-vous recevoir des informations sur l'évolution de ce projet ?"/>
    <tableColumn id="22" xr3:uid="{6A9CCA0B-4C4C-4CD5-96BB-61342BCC176B}" name="Nom + prénom :"/>
    <tableColumn id="23" xr3:uid="{B5B8E7F0-7270-4599-88A5-56B1D3DFD87A}" name="E-mail :"/>
    <tableColumn id="24" xr3:uid="{C0C67837-50CD-4D03-AF16-F6824DFE8959}" name="Téléphone (facultatif) :"/>
    <tableColumn id="25" xr3:uid="{F7E9F468-7095-4E91-8F5D-C18AE1631676}" name="Clé"/>
    <tableColumn id="26" xr3:uid="{977E078E-DEC6-44F1-B186-C32D0096D426}" name="Date de saisie"/>
    <tableColumn id="27" xr3:uid="{E12AD9B8-978C-43B5-B1A6-495E7776807F}" name="Date de dernière modification"/>
    <tableColumn id="28" xr3:uid="{9870B874-6CCA-4F69-9824-2C7EA65DB3AA}" name="Date de dernier enregistrement"/>
    <tableColumn id="29" xr3:uid="{E64308F8-FDD2-4731-84A4-18DF62A8FA7F}" name="Temps de saisie"/>
    <tableColumn id="30" xr3:uid="{52529F7E-8812-405E-BCA7-A58A14387A8E}" name="Langue"/>
    <tableColumn id="31" xr3:uid="{AF708A5A-E0B3-48BC-BABD-8BC63DB0A27F}" name="Progression"/>
    <tableColumn id="32" xr3:uid="{91BF0264-4382-45F6-A4D5-A217986B122E}" name="Dernière question saisie"/>
    <tableColumn id="33" xr3:uid="{69DB5DB3-CC8E-4830-9C3B-F520E55BA378}" name="Origine"/>
    <tableColumn id="34" xr3:uid="{AE7E630D-2D5A-4158-9ED5-4E7759987295}" name="Appareil utilisé pour la saisie"/>
    <tableColumn id="35" xr3:uid="{0B02E228-2D6C-4EE5-8D88-135FFEB671EE}" name="Campagne de diffu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1"/>
  <sheetViews>
    <sheetView topLeftCell="T1" workbookViewId="0">
      <selection activeCell="X1" sqref="X1:X1048576"/>
    </sheetView>
  </sheetViews>
  <sheetFormatPr baseColWidth="10" defaultRowHeight="14.4" x14ac:dyDescent="0.3"/>
  <cols>
    <col min="1" max="1" width="11.3984375" bestFit="1" customWidth="1"/>
    <col min="2" max="2" width="20.5" customWidth="1"/>
    <col min="3" max="3" width="37.3984375" customWidth="1"/>
    <col min="4" max="4" width="43.09765625" customWidth="1"/>
    <col min="6" max="6" width="44.796875" customWidth="1"/>
    <col min="8" max="9" width="42.09765625" customWidth="1"/>
    <col min="10" max="12" width="51.3984375" customWidth="1"/>
    <col min="14" max="14" width="51.3984375" customWidth="1"/>
    <col min="15" max="15" width="47.796875" customWidth="1"/>
    <col min="16" max="18" width="51.3984375" customWidth="1"/>
    <col min="20" max="20" width="51.3984375" customWidth="1"/>
    <col min="22" max="22" width="51.3984375" customWidth="1"/>
    <col min="23" max="23" width="14.8984375" customWidth="1"/>
    <col min="25" max="25" width="20.5" customWidth="1"/>
    <col min="27" max="27" width="13.69921875" customWidth="1"/>
    <col min="28" max="28" width="26" customWidth="1"/>
    <col min="29" max="29" width="27.19921875" customWidth="1"/>
    <col min="30" max="30" width="15.296875" customWidth="1"/>
    <col min="32" max="32" width="12.09765625" customWidth="1"/>
    <col min="33" max="33" width="21.8984375" customWidth="1"/>
    <col min="35" max="35" width="25.19921875" customWidth="1"/>
    <col min="36" max="36" width="20.796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2121</v>
      </c>
      <c r="J1" t="s">
        <v>8</v>
      </c>
      <c r="K1" t="s">
        <v>9</v>
      </c>
      <c r="L1" t="s">
        <v>10</v>
      </c>
      <c r="M1" t="s">
        <v>2113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2114</v>
      </c>
      <c r="T1" t="s">
        <v>16</v>
      </c>
      <c r="U1" t="s">
        <v>2115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3">
      <c r="A2">
        <v>1</v>
      </c>
      <c r="Z2" t="s">
        <v>32</v>
      </c>
      <c r="AA2" t="s">
        <v>33</v>
      </c>
      <c r="AC2" t="s">
        <v>34</v>
      </c>
      <c r="AD2">
        <v>150.11849050000001</v>
      </c>
      <c r="AE2" t="s">
        <v>35</v>
      </c>
      <c r="AF2" t="s">
        <v>36</v>
      </c>
      <c r="AH2" t="s">
        <v>37</v>
      </c>
      <c r="AI2" t="s">
        <v>38</v>
      </c>
      <c r="AJ2" t="s">
        <v>39</v>
      </c>
    </row>
    <row r="3" spans="1:36" x14ac:dyDescent="0.3">
      <c r="A3">
        <v>2</v>
      </c>
      <c r="B3" t="s">
        <v>40</v>
      </c>
      <c r="C3" t="s">
        <v>41</v>
      </c>
      <c r="D3" t="s">
        <v>42</v>
      </c>
      <c r="F3" t="s">
        <v>43</v>
      </c>
      <c r="H3" t="s">
        <v>44</v>
      </c>
      <c r="I3">
        <v>25</v>
      </c>
      <c r="J3" t="s">
        <v>45</v>
      </c>
      <c r="K3" t="s">
        <v>46</v>
      </c>
      <c r="L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T3" t="s">
        <v>53</v>
      </c>
      <c r="V3" t="s">
        <v>54</v>
      </c>
      <c r="W3" t="s">
        <v>55</v>
      </c>
      <c r="X3" t="s">
        <v>56</v>
      </c>
      <c r="Z3" t="s">
        <v>57</v>
      </c>
      <c r="AA3" t="s">
        <v>58</v>
      </c>
      <c r="AC3" t="s">
        <v>59</v>
      </c>
      <c r="AD3">
        <v>274.23551680000003</v>
      </c>
      <c r="AE3" t="s">
        <v>60</v>
      </c>
      <c r="AF3" t="s">
        <v>61</v>
      </c>
      <c r="AH3" t="s">
        <v>62</v>
      </c>
      <c r="AI3" t="s">
        <v>63</v>
      </c>
      <c r="AJ3" t="s">
        <v>64</v>
      </c>
    </row>
    <row r="4" spans="1:36" x14ac:dyDescent="0.3">
      <c r="A4">
        <v>3</v>
      </c>
      <c r="B4" t="s">
        <v>65</v>
      </c>
      <c r="C4" t="s">
        <v>41</v>
      </c>
      <c r="D4" t="s">
        <v>66</v>
      </c>
      <c r="F4" t="s">
        <v>67</v>
      </c>
      <c r="H4" t="s">
        <v>68</v>
      </c>
      <c r="I4">
        <v>25</v>
      </c>
      <c r="J4" t="s">
        <v>69</v>
      </c>
      <c r="K4" t="s">
        <v>70</v>
      </c>
      <c r="L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T4" t="s">
        <v>77</v>
      </c>
      <c r="V4" t="s">
        <v>78</v>
      </c>
      <c r="W4" t="s">
        <v>79</v>
      </c>
      <c r="X4" t="s">
        <v>80</v>
      </c>
      <c r="Z4" t="s">
        <v>81</v>
      </c>
      <c r="AA4" t="s">
        <v>82</v>
      </c>
      <c r="AC4" t="s">
        <v>83</v>
      </c>
      <c r="AD4">
        <v>249.76466679999999</v>
      </c>
      <c r="AE4" t="s">
        <v>84</v>
      </c>
      <c r="AF4" t="s">
        <v>85</v>
      </c>
      <c r="AH4" t="s">
        <v>86</v>
      </c>
      <c r="AI4" t="s">
        <v>87</v>
      </c>
      <c r="AJ4" t="s">
        <v>88</v>
      </c>
    </row>
    <row r="5" spans="1:36" x14ac:dyDescent="0.3">
      <c r="A5">
        <v>4</v>
      </c>
      <c r="B5" t="s">
        <v>89</v>
      </c>
      <c r="C5" t="s">
        <v>90</v>
      </c>
      <c r="D5" t="s">
        <v>91</v>
      </c>
      <c r="F5" t="s">
        <v>92</v>
      </c>
      <c r="H5" t="s">
        <v>93</v>
      </c>
      <c r="I5">
        <v>25</v>
      </c>
      <c r="J5" t="s">
        <v>45</v>
      </c>
      <c r="K5" t="s">
        <v>94</v>
      </c>
      <c r="L5" t="s">
        <v>95</v>
      </c>
      <c r="N5" t="s">
        <v>96</v>
      </c>
      <c r="P5" t="s">
        <v>97</v>
      </c>
      <c r="Q5" t="s">
        <v>98</v>
      </c>
      <c r="R5" t="s">
        <v>99</v>
      </c>
      <c r="T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C5" t="s">
        <v>107</v>
      </c>
      <c r="AD5">
        <v>199.33645240000001</v>
      </c>
      <c r="AE5" t="s">
        <v>108</v>
      </c>
      <c r="AF5" t="s">
        <v>109</v>
      </c>
      <c r="AH5" t="s">
        <v>110</v>
      </c>
      <c r="AI5" t="s">
        <v>111</v>
      </c>
      <c r="AJ5" t="s">
        <v>112</v>
      </c>
    </row>
    <row r="6" spans="1:36" x14ac:dyDescent="0.3">
      <c r="A6">
        <v>5</v>
      </c>
      <c r="B6" t="s">
        <v>113</v>
      </c>
      <c r="C6" t="s">
        <v>114</v>
      </c>
      <c r="D6" t="s">
        <v>115</v>
      </c>
      <c r="F6" t="s">
        <v>116</v>
      </c>
      <c r="H6" t="s">
        <v>117</v>
      </c>
      <c r="I6">
        <v>25</v>
      </c>
      <c r="J6" t="s">
        <v>118</v>
      </c>
      <c r="K6" t="s">
        <v>119</v>
      </c>
      <c r="L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T6" t="s">
        <v>126</v>
      </c>
      <c r="V6" t="s">
        <v>127</v>
      </c>
      <c r="W6" t="s">
        <v>128</v>
      </c>
      <c r="X6" t="s">
        <v>129</v>
      </c>
      <c r="Z6" t="s">
        <v>130</v>
      </c>
      <c r="AA6" t="s">
        <v>131</v>
      </c>
      <c r="AC6" t="s">
        <v>132</v>
      </c>
      <c r="AD6">
        <v>331.11881540000002</v>
      </c>
      <c r="AE6" t="s">
        <v>133</v>
      </c>
      <c r="AF6" t="s">
        <v>134</v>
      </c>
      <c r="AH6" t="s">
        <v>135</v>
      </c>
      <c r="AI6" t="s">
        <v>136</v>
      </c>
      <c r="AJ6" t="s">
        <v>137</v>
      </c>
    </row>
    <row r="7" spans="1:36" x14ac:dyDescent="0.3">
      <c r="A7">
        <v>6</v>
      </c>
      <c r="B7" t="s">
        <v>138</v>
      </c>
      <c r="C7" t="s">
        <v>139</v>
      </c>
      <c r="D7" t="s">
        <v>140</v>
      </c>
      <c r="F7" t="s">
        <v>141</v>
      </c>
      <c r="H7" t="s">
        <v>142</v>
      </c>
      <c r="I7">
        <v>25</v>
      </c>
      <c r="J7" t="s">
        <v>143</v>
      </c>
      <c r="K7" t="s">
        <v>144</v>
      </c>
      <c r="L7" t="s">
        <v>145</v>
      </c>
      <c r="N7" t="s">
        <v>146</v>
      </c>
      <c r="P7" t="s">
        <v>147</v>
      </c>
      <c r="R7" t="s">
        <v>148</v>
      </c>
      <c r="T7" t="s">
        <v>149</v>
      </c>
      <c r="V7" t="s">
        <v>150</v>
      </c>
      <c r="W7" t="s">
        <v>151</v>
      </c>
      <c r="X7" t="s">
        <v>152</v>
      </c>
      <c r="Z7" t="s">
        <v>153</v>
      </c>
      <c r="AA7" t="s">
        <v>154</v>
      </c>
      <c r="AC7" t="s">
        <v>155</v>
      </c>
      <c r="AD7">
        <v>198.93029970000001</v>
      </c>
      <c r="AE7" t="s">
        <v>156</v>
      </c>
      <c r="AF7" t="s">
        <v>157</v>
      </c>
      <c r="AH7" t="s">
        <v>158</v>
      </c>
      <c r="AI7" t="s">
        <v>159</v>
      </c>
      <c r="AJ7" t="s">
        <v>160</v>
      </c>
    </row>
    <row r="8" spans="1:36" x14ac:dyDescent="0.3">
      <c r="A8">
        <v>7</v>
      </c>
      <c r="B8" t="s">
        <v>161</v>
      </c>
      <c r="C8" t="s">
        <v>162</v>
      </c>
      <c r="D8" t="s">
        <v>163</v>
      </c>
      <c r="F8" t="s">
        <v>164</v>
      </c>
      <c r="H8" t="s">
        <v>165</v>
      </c>
      <c r="I8">
        <v>25</v>
      </c>
      <c r="J8" t="s">
        <v>166</v>
      </c>
      <c r="K8" t="s">
        <v>167</v>
      </c>
      <c r="L8" t="s">
        <v>168</v>
      </c>
      <c r="N8" t="s">
        <v>169</v>
      </c>
      <c r="P8" t="s">
        <v>170</v>
      </c>
      <c r="Q8" t="s">
        <v>171</v>
      </c>
      <c r="R8" t="s">
        <v>172</v>
      </c>
      <c r="T8" t="s">
        <v>173</v>
      </c>
      <c r="V8" t="s">
        <v>174</v>
      </c>
      <c r="W8" t="s">
        <v>175</v>
      </c>
      <c r="X8" t="s">
        <v>176</v>
      </c>
      <c r="Y8" t="s">
        <v>177</v>
      </c>
      <c r="Z8" t="s">
        <v>178</v>
      </c>
      <c r="AA8" t="s">
        <v>179</v>
      </c>
      <c r="AC8" t="s">
        <v>180</v>
      </c>
      <c r="AD8">
        <v>184.83629739999998</v>
      </c>
      <c r="AE8" t="s">
        <v>181</v>
      </c>
      <c r="AF8" t="s">
        <v>182</v>
      </c>
      <c r="AH8" t="s">
        <v>183</v>
      </c>
      <c r="AI8" t="s">
        <v>184</v>
      </c>
      <c r="AJ8" t="s">
        <v>185</v>
      </c>
    </row>
    <row r="9" spans="1:36" x14ac:dyDescent="0.3">
      <c r="A9">
        <v>8</v>
      </c>
      <c r="B9" t="s">
        <v>186</v>
      </c>
      <c r="C9" t="s">
        <v>187</v>
      </c>
      <c r="D9" t="s">
        <v>188</v>
      </c>
      <c r="F9" t="s">
        <v>189</v>
      </c>
      <c r="H9" t="s">
        <v>190</v>
      </c>
      <c r="I9">
        <v>25</v>
      </c>
      <c r="J9" t="s">
        <v>191</v>
      </c>
      <c r="K9" t="s">
        <v>192</v>
      </c>
      <c r="L9" t="s">
        <v>193</v>
      </c>
      <c r="N9" t="s">
        <v>194</v>
      </c>
      <c r="P9" t="s">
        <v>195</v>
      </c>
      <c r="Q9" t="s">
        <v>196</v>
      </c>
      <c r="R9" t="s">
        <v>197</v>
      </c>
      <c r="T9" t="s">
        <v>198</v>
      </c>
      <c r="V9" t="s">
        <v>199</v>
      </c>
      <c r="Z9" t="s">
        <v>200</v>
      </c>
      <c r="AA9" t="s">
        <v>201</v>
      </c>
      <c r="AC9" t="s">
        <v>202</v>
      </c>
      <c r="AD9">
        <v>142.01245740000002</v>
      </c>
      <c r="AE9" t="s">
        <v>203</v>
      </c>
      <c r="AF9" t="s">
        <v>204</v>
      </c>
      <c r="AH9" t="s">
        <v>205</v>
      </c>
      <c r="AI9" t="s">
        <v>206</v>
      </c>
      <c r="AJ9" t="s">
        <v>207</v>
      </c>
    </row>
    <row r="10" spans="1:36" x14ac:dyDescent="0.3">
      <c r="A10">
        <v>9</v>
      </c>
      <c r="B10" t="s">
        <v>208</v>
      </c>
      <c r="C10" t="s">
        <v>209</v>
      </c>
      <c r="D10" t="s">
        <v>210</v>
      </c>
      <c r="F10" t="s">
        <v>211</v>
      </c>
      <c r="H10" t="s">
        <v>212</v>
      </c>
      <c r="I10">
        <v>25</v>
      </c>
      <c r="J10" t="s">
        <v>213</v>
      </c>
      <c r="K10" t="s">
        <v>214</v>
      </c>
      <c r="L10" t="s">
        <v>215</v>
      </c>
      <c r="N10" t="s">
        <v>216</v>
      </c>
      <c r="O10" t="s">
        <v>217</v>
      </c>
      <c r="P10" t="s">
        <v>218</v>
      </c>
      <c r="Q10" t="s">
        <v>219</v>
      </c>
      <c r="R10" t="s">
        <v>220</v>
      </c>
      <c r="T10" t="s">
        <v>221</v>
      </c>
      <c r="V10" t="s">
        <v>222</v>
      </c>
      <c r="W10" t="s">
        <v>223</v>
      </c>
      <c r="X10" t="s">
        <v>224</v>
      </c>
      <c r="Z10" t="s">
        <v>225</v>
      </c>
      <c r="AA10" t="s">
        <v>226</v>
      </c>
      <c r="AC10" t="s">
        <v>227</v>
      </c>
      <c r="AD10">
        <v>255.65147880000001</v>
      </c>
      <c r="AE10" t="s">
        <v>228</v>
      </c>
      <c r="AF10" t="s">
        <v>229</v>
      </c>
      <c r="AH10" t="s">
        <v>230</v>
      </c>
      <c r="AI10" t="s">
        <v>231</v>
      </c>
      <c r="AJ10" t="s">
        <v>232</v>
      </c>
    </row>
    <row r="11" spans="1:36" x14ac:dyDescent="0.3">
      <c r="A11">
        <v>10</v>
      </c>
      <c r="B11" t="s">
        <v>233</v>
      </c>
      <c r="C11" t="s">
        <v>234</v>
      </c>
      <c r="D11" t="s">
        <v>235</v>
      </c>
      <c r="F11" t="s">
        <v>236</v>
      </c>
      <c r="H11" t="s">
        <v>237</v>
      </c>
      <c r="I11">
        <v>25</v>
      </c>
      <c r="J11" t="s">
        <v>238</v>
      </c>
      <c r="K11" t="s">
        <v>239</v>
      </c>
      <c r="L11" t="s">
        <v>240</v>
      </c>
      <c r="N11" t="s">
        <v>241</v>
      </c>
      <c r="P11" t="s">
        <v>242</v>
      </c>
      <c r="Q11" t="s">
        <v>243</v>
      </c>
      <c r="R11" t="s">
        <v>244</v>
      </c>
      <c r="T11" t="s">
        <v>245</v>
      </c>
      <c r="U11" t="s">
        <v>246</v>
      </c>
      <c r="V11" t="s">
        <v>247</v>
      </c>
      <c r="W11" t="s">
        <v>248</v>
      </c>
      <c r="X11" t="s">
        <v>249</v>
      </c>
      <c r="Z11" t="s">
        <v>250</v>
      </c>
      <c r="AA11" t="s">
        <v>251</v>
      </c>
      <c r="AC11" t="s">
        <v>252</v>
      </c>
      <c r="AD11">
        <v>395.54301720000001</v>
      </c>
      <c r="AE11" t="s">
        <v>253</v>
      </c>
      <c r="AF11" t="s">
        <v>254</v>
      </c>
      <c r="AH11" t="s">
        <v>255</v>
      </c>
      <c r="AI11" t="s">
        <v>256</v>
      </c>
      <c r="AJ11" t="s">
        <v>257</v>
      </c>
    </row>
    <row r="12" spans="1:36" x14ac:dyDescent="0.3">
      <c r="A12">
        <v>11</v>
      </c>
      <c r="B12" t="s">
        <v>258</v>
      </c>
      <c r="C12" t="s">
        <v>90</v>
      </c>
      <c r="D12" t="s">
        <v>259</v>
      </c>
      <c r="F12" t="s">
        <v>260</v>
      </c>
      <c r="H12" t="s">
        <v>261</v>
      </c>
      <c r="I12">
        <v>25</v>
      </c>
      <c r="J12" t="s">
        <v>262</v>
      </c>
      <c r="K12" t="s">
        <v>263</v>
      </c>
      <c r="L12" t="s">
        <v>264</v>
      </c>
      <c r="N12" t="s">
        <v>265</v>
      </c>
      <c r="O12" t="s">
        <v>266</v>
      </c>
      <c r="P12" t="s">
        <v>267</v>
      </c>
      <c r="Q12" t="s">
        <v>268</v>
      </c>
      <c r="R12" t="s">
        <v>269</v>
      </c>
      <c r="T12" t="s">
        <v>270</v>
      </c>
      <c r="V12" t="s">
        <v>271</v>
      </c>
      <c r="W12" t="s">
        <v>272</v>
      </c>
      <c r="X12" t="s">
        <v>273</v>
      </c>
      <c r="Z12" t="s">
        <v>274</v>
      </c>
      <c r="AA12" t="s">
        <v>275</v>
      </c>
      <c r="AC12" t="s">
        <v>276</v>
      </c>
      <c r="AD12">
        <v>270.19670409999998</v>
      </c>
      <c r="AE12" t="s">
        <v>277</v>
      </c>
      <c r="AF12" t="s">
        <v>278</v>
      </c>
      <c r="AH12" t="s">
        <v>279</v>
      </c>
      <c r="AI12" t="s">
        <v>280</v>
      </c>
      <c r="AJ12" t="s">
        <v>281</v>
      </c>
    </row>
    <row r="13" spans="1:36" x14ac:dyDescent="0.3">
      <c r="A13">
        <v>12</v>
      </c>
      <c r="B13" t="s">
        <v>282</v>
      </c>
      <c r="C13" t="s">
        <v>283</v>
      </c>
      <c r="D13" t="s">
        <v>284</v>
      </c>
      <c r="F13" t="s">
        <v>285</v>
      </c>
      <c r="H13" t="s">
        <v>286</v>
      </c>
      <c r="I13">
        <v>25</v>
      </c>
      <c r="J13" t="s">
        <v>287</v>
      </c>
      <c r="K13" t="s">
        <v>288</v>
      </c>
      <c r="L13" t="s">
        <v>289</v>
      </c>
      <c r="N13" t="s">
        <v>290</v>
      </c>
      <c r="P13" t="s">
        <v>291</v>
      </c>
      <c r="R13" t="s">
        <v>292</v>
      </c>
      <c r="T13" t="s">
        <v>293</v>
      </c>
      <c r="V13" t="s">
        <v>294</v>
      </c>
      <c r="W13" t="s">
        <v>295</v>
      </c>
      <c r="X13" t="s">
        <v>296</v>
      </c>
      <c r="Z13" t="s">
        <v>297</v>
      </c>
      <c r="AA13" t="s">
        <v>298</v>
      </c>
      <c r="AC13" t="s">
        <v>299</v>
      </c>
      <c r="AD13">
        <v>283.48339040000002</v>
      </c>
      <c r="AE13" t="s">
        <v>300</v>
      </c>
      <c r="AF13" t="s">
        <v>301</v>
      </c>
      <c r="AH13" t="s">
        <v>302</v>
      </c>
      <c r="AI13" t="s">
        <v>303</v>
      </c>
      <c r="AJ13" t="s">
        <v>304</v>
      </c>
    </row>
    <row r="14" spans="1:36" x14ac:dyDescent="0.3">
      <c r="A14">
        <v>13</v>
      </c>
      <c r="B14" t="s">
        <v>305</v>
      </c>
      <c r="C14" t="s">
        <v>306</v>
      </c>
      <c r="D14" t="s">
        <v>307</v>
      </c>
      <c r="F14" t="s">
        <v>308</v>
      </c>
      <c r="H14" t="s">
        <v>309</v>
      </c>
      <c r="I14">
        <v>25</v>
      </c>
      <c r="J14" t="s">
        <v>310</v>
      </c>
      <c r="K14" t="s">
        <v>311</v>
      </c>
      <c r="L14" t="s">
        <v>312</v>
      </c>
      <c r="N14" t="s">
        <v>313</v>
      </c>
      <c r="O14" t="s">
        <v>314</v>
      </c>
      <c r="P14" t="s">
        <v>315</v>
      </c>
      <c r="Q14" t="s">
        <v>316</v>
      </c>
      <c r="R14" t="s">
        <v>317</v>
      </c>
      <c r="T14" t="s">
        <v>318</v>
      </c>
      <c r="V14" t="s">
        <v>319</v>
      </c>
      <c r="W14" t="s">
        <v>320</v>
      </c>
      <c r="X14" t="s">
        <v>321</v>
      </c>
      <c r="Z14" t="s">
        <v>322</v>
      </c>
      <c r="AA14" t="s">
        <v>323</v>
      </c>
      <c r="AC14" t="s">
        <v>324</v>
      </c>
      <c r="AD14">
        <v>183.6678699</v>
      </c>
      <c r="AE14" t="s">
        <v>325</v>
      </c>
      <c r="AF14" t="s">
        <v>326</v>
      </c>
      <c r="AH14" t="s">
        <v>327</v>
      </c>
      <c r="AI14" t="s">
        <v>328</v>
      </c>
      <c r="AJ14" t="s">
        <v>329</v>
      </c>
    </row>
    <row r="15" spans="1:36" x14ac:dyDescent="0.3">
      <c r="A15">
        <v>14</v>
      </c>
      <c r="B15" t="s">
        <v>330</v>
      </c>
      <c r="C15" t="s">
        <v>331</v>
      </c>
      <c r="D15" t="s">
        <v>332</v>
      </c>
      <c r="F15" t="s">
        <v>333</v>
      </c>
      <c r="H15" t="s">
        <v>334</v>
      </c>
      <c r="I15">
        <v>25</v>
      </c>
      <c r="J15" t="s">
        <v>335</v>
      </c>
      <c r="K15" t="s">
        <v>336</v>
      </c>
      <c r="L15" t="s">
        <v>337</v>
      </c>
      <c r="N15" t="s">
        <v>338</v>
      </c>
      <c r="P15" t="s">
        <v>339</v>
      </c>
      <c r="R15" t="s">
        <v>340</v>
      </c>
      <c r="T15" t="s">
        <v>341</v>
      </c>
      <c r="V15" t="s">
        <v>342</v>
      </c>
      <c r="Z15" t="s">
        <v>343</v>
      </c>
      <c r="AA15" t="s">
        <v>344</v>
      </c>
      <c r="AC15" t="s">
        <v>345</v>
      </c>
      <c r="AD15">
        <v>164.61082379999999</v>
      </c>
      <c r="AE15" t="s">
        <v>346</v>
      </c>
      <c r="AF15" t="s">
        <v>347</v>
      </c>
      <c r="AH15" t="s">
        <v>348</v>
      </c>
      <c r="AI15" t="s">
        <v>349</v>
      </c>
      <c r="AJ15" t="s">
        <v>350</v>
      </c>
    </row>
    <row r="16" spans="1:36" x14ac:dyDescent="0.3">
      <c r="A16">
        <v>15</v>
      </c>
      <c r="B16" t="s">
        <v>351</v>
      </c>
      <c r="C16" t="s">
        <v>352</v>
      </c>
      <c r="D16" t="s">
        <v>353</v>
      </c>
      <c r="F16" t="s">
        <v>354</v>
      </c>
      <c r="H16" t="s">
        <v>355</v>
      </c>
      <c r="I16">
        <v>25</v>
      </c>
      <c r="J16" t="s">
        <v>356</v>
      </c>
      <c r="K16" t="s">
        <v>357</v>
      </c>
      <c r="L16" t="s">
        <v>358</v>
      </c>
      <c r="N16" t="s">
        <v>359</v>
      </c>
      <c r="P16" t="s">
        <v>360</v>
      </c>
      <c r="R16" t="s">
        <v>361</v>
      </c>
      <c r="T16" t="s">
        <v>362</v>
      </c>
      <c r="V16" t="s">
        <v>363</v>
      </c>
      <c r="Z16" t="s">
        <v>364</v>
      </c>
      <c r="AA16" t="s">
        <v>365</v>
      </c>
      <c r="AC16" t="s">
        <v>366</v>
      </c>
      <c r="AD16">
        <v>625.30611469999997</v>
      </c>
      <c r="AE16" t="s">
        <v>367</v>
      </c>
      <c r="AF16" t="s">
        <v>368</v>
      </c>
      <c r="AH16" t="s">
        <v>369</v>
      </c>
      <c r="AI16" t="s">
        <v>370</v>
      </c>
      <c r="AJ16" t="s">
        <v>371</v>
      </c>
    </row>
    <row r="17" spans="1:36" x14ac:dyDescent="0.3">
      <c r="A17">
        <v>16</v>
      </c>
      <c r="B17" t="s">
        <v>372</v>
      </c>
      <c r="C17" t="s">
        <v>373</v>
      </c>
      <c r="D17" t="s">
        <v>374</v>
      </c>
      <c r="F17" t="s">
        <v>375</v>
      </c>
      <c r="H17" t="s">
        <v>376</v>
      </c>
      <c r="I17">
        <v>25</v>
      </c>
      <c r="J17" t="s">
        <v>377</v>
      </c>
      <c r="K17" t="s">
        <v>378</v>
      </c>
      <c r="L17" t="s">
        <v>379</v>
      </c>
      <c r="N17" t="s">
        <v>380</v>
      </c>
      <c r="O17" t="s">
        <v>381</v>
      </c>
      <c r="P17" t="s">
        <v>382</v>
      </c>
      <c r="Q17" t="s">
        <v>383</v>
      </c>
      <c r="R17" t="s">
        <v>384</v>
      </c>
      <c r="T17" t="s">
        <v>385</v>
      </c>
      <c r="V17" t="s">
        <v>386</v>
      </c>
      <c r="W17" t="s">
        <v>387</v>
      </c>
      <c r="X17" t="s">
        <v>388</v>
      </c>
      <c r="Y17" t="s">
        <v>389</v>
      </c>
      <c r="Z17" t="s">
        <v>390</v>
      </c>
      <c r="AA17" t="s">
        <v>391</v>
      </c>
      <c r="AC17" t="s">
        <v>392</v>
      </c>
      <c r="AD17">
        <v>403.71224949999998</v>
      </c>
      <c r="AE17" t="s">
        <v>393</v>
      </c>
      <c r="AF17" t="s">
        <v>394</v>
      </c>
      <c r="AH17" t="s">
        <v>395</v>
      </c>
      <c r="AI17" t="s">
        <v>396</v>
      </c>
      <c r="AJ17" t="s">
        <v>397</v>
      </c>
    </row>
    <row r="18" spans="1:36" x14ac:dyDescent="0.3">
      <c r="A18">
        <v>17</v>
      </c>
      <c r="B18" t="s">
        <v>398</v>
      </c>
      <c r="C18" t="s">
        <v>399</v>
      </c>
      <c r="D18" t="s">
        <v>400</v>
      </c>
      <c r="F18" t="s">
        <v>401</v>
      </c>
      <c r="H18" t="s">
        <v>402</v>
      </c>
      <c r="I18">
        <v>25</v>
      </c>
      <c r="J18" t="s">
        <v>403</v>
      </c>
      <c r="K18" t="s">
        <v>404</v>
      </c>
      <c r="L18" t="s">
        <v>405</v>
      </c>
      <c r="N18" t="s">
        <v>406</v>
      </c>
      <c r="P18" t="s">
        <v>407</v>
      </c>
      <c r="Q18" t="s">
        <v>408</v>
      </c>
      <c r="R18" t="s">
        <v>409</v>
      </c>
      <c r="T18" t="s">
        <v>410</v>
      </c>
      <c r="V18" t="s">
        <v>411</v>
      </c>
      <c r="W18" t="s">
        <v>412</v>
      </c>
      <c r="X18" t="s">
        <v>413</v>
      </c>
      <c r="Y18" t="s">
        <v>414</v>
      </c>
      <c r="Z18" t="s">
        <v>415</v>
      </c>
      <c r="AA18" t="s">
        <v>416</v>
      </c>
      <c r="AC18" t="s">
        <v>417</v>
      </c>
      <c r="AD18">
        <v>426.10157369999996</v>
      </c>
      <c r="AE18" t="s">
        <v>418</v>
      </c>
      <c r="AF18" t="s">
        <v>419</v>
      </c>
      <c r="AH18" t="s">
        <v>420</v>
      </c>
      <c r="AI18" t="s">
        <v>421</v>
      </c>
      <c r="AJ18" t="s">
        <v>422</v>
      </c>
    </row>
    <row r="19" spans="1:36" x14ac:dyDescent="0.3">
      <c r="A19">
        <v>18</v>
      </c>
      <c r="B19" t="s">
        <v>423</v>
      </c>
      <c r="C19" t="s">
        <v>424</v>
      </c>
      <c r="D19" t="s">
        <v>425</v>
      </c>
      <c r="F19" t="s">
        <v>426</v>
      </c>
      <c r="H19" t="s">
        <v>427</v>
      </c>
      <c r="I19">
        <v>90</v>
      </c>
      <c r="J19" t="s">
        <v>428</v>
      </c>
      <c r="K19" t="s">
        <v>429</v>
      </c>
      <c r="L19" t="s">
        <v>430</v>
      </c>
      <c r="N19" t="s">
        <v>431</v>
      </c>
      <c r="O19" t="s">
        <v>432</v>
      </c>
      <c r="P19" t="s">
        <v>433</v>
      </c>
      <c r="R19" t="s">
        <v>434</v>
      </c>
      <c r="T19" t="s">
        <v>435</v>
      </c>
      <c r="V19" t="s">
        <v>436</v>
      </c>
      <c r="Z19" t="s">
        <v>437</v>
      </c>
      <c r="AA19" t="s">
        <v>438</v>
      </c>
      <c r="AC19" t="s">
        <v>439</v>
      </c>
      <c r="AD19">
        <v>110.633173</v>
      </c>
      <c r="AE19" t="s">
        <v>440</v>
      </c>
      <c r="AF19" t="s">
        <v>441</v>
      </c>
      <c r="AH19" t="s">
        <v>442</v>
      </c>
      <c r="AI19" t="s">
        <v>443</v>
      </c>
      <c r="AJ19" t="s">
        <v>444</v>
      </c>
    </row>
    <row r="20" spans="1:36" x14ac:dyDescent="0.3">
      <c r="A20">
        <v>19</v>
      </c>
      <c r="B20" t="s">
        <v>445</v>
      </c>
      <c r="C20" t="s">
        <v>446</v>
      </c>
      <c r="D20" t="s">
        <v>447</v>
      </c>
      <c r="F20" t="s">
        <v>448</v>
      </c>
      <c r="H20" t="s">
        <v>449</v>
      </c>
      <c r="I20">
        <v>90</v>
      </c>
      <c r="J20" t="s">
        <v>450</v>
      </c>
      <c r="K20" t="s">
        <v>451</v>
      </c>
      <c r="L20" t="s">
        <v>452</v>
      </c>
      <c r="N20" t="s">
        <v>453</v>
      </c>
      <c r="P20" t="s">
        <v>454</v>
      </c>
      <c r="R20" t="s">
        <v>455</v>
      </c>
      <c r="T20" t="s">
        <v>456</v>
      </c>
      <c r="V20" t="s">
        <v>457</v>
      </c>
      <c r="Z20" t="s">
        <v>458</v>
      </c>
      <c r="AA20" t="s">
        <v>459</v>
      </c>
      <c r="AC20" t="s">
        <v>460</v>
      </c>
      <c r="AD20">
        <v>99.117932799999991</v>
      </c>
      <c r="AE20" t="s">
        <v>461</v>
      </c>
      <c r="AF20" t="s">
        <v>462</v>
      </c>
      <c r="AH20" t="s">
        <v>463</v>
      </c>
      <c r="AI20" t="s">
        <v>464</v>
      </c>
      <c r="AJ20" t="s">
        <v>465</v>
      </c>
    </row>
    <row r="21" spans="1:36" x14ac:dyDescent="0.3">
      <c r="A21">
        <v>20</v>
      </c>
      <c r="B21" t="s">
        <v>466</v>
      </c>
      <c r="C21" t="s">
        <v>467</v>
      </c>
      <c r="D21" t="s">
        <v>468</v>
      </c>
      <c r="F21" t="s">
        <v>469</v>
      </c>
      <c r="H21" t="s">
        <v>470</v>
      </c>
      <c r="I21">
        <v>90</v>
      </c>
      <c r="J21" t="s">
        <v>471</v>
      </c>
      <c r="K21" t="s">
        <v>472</v>
      </c>
      <c r="L21" t="s">
        <v>473</v>
      </c>
      <c r="N21" t="s">
        <v>474</v>
      </c>
      <c r="P21" t="s">
        <v>475</v>
      </c>
      <c r="R21" t="s">
        <v>476</v>
      </c>
      <c r="T21" t="s">
        <v>477</v>
      </c>
      <c r="V21" t="s">
        <v>478</v>
      </c>
      <c r="Z21" t="s">
        <v>479</v>
      </c>
      <c r="AA21" t="s">
        <v>480</v>
      </c>
      <c r="AC21" t="s">
        <v>481</v>
      </c>
      <c r="AD21">
        <v>172.25141909999999</v>
      </c>
      <c r="AE21" t="s">
        <v>482</v>
      </c>
      <c r="AF21" t="s">
        <v>483</v>
      </c>
      <c r="AH21" t="s">
        <v>484</v>
      </c>
      <c r="AI21" t="s">
        <v>485</v>
      </c>
      <c r="AJ21" t="s">
        <v>486</v>
      </c>
    </row>
    <row r="22" spans="1:36" x14ac:dyDescent="0.3">
      <c r="A22">
        <v>21</v>
      </c>
      <c r="B22" t="s">
        <v>487</v>
      </c>
      <c r="C22" t="s">
        <v>488</v>
      </c>
      <c r="D22" t="s">
        <v>489</v>
      </c>
      <c r="F22" t="s">
        <v>490</v>
      </c>
      <c r="H22" t="s">
        <v>491</v>
      </c>
      <c r="I22">
        <v>90</v>
      </c>
      <c r="J22" t="s">
        <v>492</v>
      </c>
      <c r="K22" t="s">
        <v>493</v>
      </c>
      <c r="L22" t="s">
        <v>494</v>
      </c>
      <c r="N22" t="s">
        <v>495</v>
      </c>
      <c r="P22" t="s">
        <v>496</v>
      </c>
      <c r="R22" t="s">
        <v>497</v>
      </c>
      <c r="T22" t="s">
        <v>498</v>
      </c>
      <c r="V22" t="s">
        <v>499</v>
      </c>
      <c r="Z22" t="s">
        <v>500</v>
      </c>
      <c r="AA22" t="s">
        <v>501</v>
      </c>
      <c r="AC22" t="s">
        <v>502</v>
      </c>
      <c r="AD22">
        <v>108.77067659999999</v>
      </c>
      <c r="AE22" t="s">
        <v>503</v>
      </c>
      <c r="AF22" t="s">
        <v>504</v>
      </c>
      <c r="AH22" t="s">
        <v>505</v>
      </c>
      <c r="AI22" t="s">
        <v>506</v>
      </c>
      <c r="AJ22" t="s">
        <v>507</v>
      </c>
    </row>
    <row r="23" spans="1:36" x14ac:dyDescent="0.3">
      <c r="A23">
        <v>22</v>
      </c>
      <c r="B23" t="s">
        <v>508</v>
      </c>
      <c r="C23" t="s">
        <v>509</v>
      </c>
      <c r="D23" t="s">
        <v>510</v>
      </c>
      <c r="F23" t="s">
        <v>511</v>
      </c>
      <c r="H23" t="s">
        <v>512</v>
      </c>
      <c r="I23">
        <v>90</v>
      </c>
      <c r="J23" t="s">
        <v>513</v>
      </c>
      <c r="K23" t="s">
        <v>514</v>
      </c>
      <c r="L23" t="s">
        <v>515</v>
      </c>
      <c r="N23" t="s">
        <v>516</v>
      </c>
      <c r="O23" t="s">
        <v>517</v>
      </c>
      <c r="P23" t="s">
        <v>518</v>
      </c>
      <c r="R23" t="s">
        <v>519</v>
      </c>
      <c r="T23" t="s">
        <v>520</v>
      </c>
      <c r="V23" t="s">
        <v>521</v>
      </c>
      <c r="Z23" t="s">
        <v>522</v>
      </c>
      <c r="AA23" t="s">
        <v>523</v>
      </c>
      <c r="AC23" t="s">
        <v>524</v>
      </c>
      <c r="AD23">
        <v>119.88984000000001</v>
      </c>
      <c r="AE23" t="s">
        <v>525</v>
      </c>
      <c r="AF23" t="s">
        <v>526</v>
      </c>
      <c r="AH23" t="s">
        <v>527</v>
      </c>
      <c r="AI23" t="s">
        <v>528</v>
      </c>
    </row>
    <row r="24" spans="1:36" x14ac:dyDescent="0.3">
      <c r="A24">
        <v>23</v>
      </c>
      <c r="B24" t="s">
        <v>529</v>
      </c>
      <c r="C24" t="s">
        <v>530</v>
      </c>
      <c r="D24" t="s">
        <v>531</v>
      </c>
      <c r="F24" t="s">
        <v>532</v>
      </c>
      <c r="H24" t="s">
        <v>533</v>
      </c>
      <c r="I24">
        <v>90</v>
      </c>
      <c r="J24" t="s">
        <v>534</v>
      </c>
      <c r="K24" t="s">
        <v>535</v>
      </c>
      <c r="L24" t="s">
        <v>536</v>
      </c>
      <c r="N24" t="s">
        <v>537</v>
      </c>
      <c r="P24" t="s">
        <v>538</v>
      </c>
      <c r="Q24" t="s">
        <v>539</v>
      </c>
      <c r="R24" t="s">
        <v>540</v>
      </c>
      <c r="T24" t="s">
        <v>541</v>
      </c>
      <c r="V24" t="s">
        <v>542</v>
      </c>
      <c r="Z24" t="s">
        <v>543</v>
      </c>
      <c r="AA24" t="s">
        <v>544</v>
      </c>
      <c r="AC24" t="s">
        <v>545</v>
      </c>
      <c r="AD24">
        <v>124.7023212</v>
      </c>
      <c r="AE24" t="s">
        <v>546</v>
      </c>
      <c r="AF24" t="s">
        <v>547</v>
      </c>
      <c r="AH24" t="s">
        <v>548</v>
      </c>
      <c r="AI24" t="s">
        <v>549</v>
      </c>
      <c r="AJ24" t="s">
        <v>550</v>
      </c>
    </row>
    <row r="25" spans="1:36" x14ac:dyDescent="0.3">
      <c r="A25">
        <v>24</v>
      </c>
      <c r="B25" t="s">
        <v>551</v>
      </c>
      <c r="C25" t="s">
        <v>552</v>
      </c>
      <c r="D25" t="s">
        <v>553</v>
      </c>
      <c r="F25" t="s">
        <v>554</v>
      </c>
      <c r="H25" t="s">
        <v>555</v>
      </c>
      <c r="I25">
        <v>90</v>
      </c>
      <c r="J25" t="s">
        <v>556</v>
      </c>
      <c r="K25" t="s">
        <v>557</v>
      </c>
      <c r="L25" t="s">
        <v>558</v>
      </c>
      <c r="N25" t="s">
        <v>559</v>
      </c>
      <c r="O25" t="s">
        <v>560</v>
      </c>
      <c r="P25" t="s">
        <v>561</v>
      </c>
      <c r="Q25" t="s">
        <v>562</v>
      </c>
      <c r="R25" t="s">
        <v>563</v>
      </c>
      <c r="T25" t="s">
        <v>564</v>
      </c>
      <c r="V25" t="s">
        <v>565</v>
      </c>
      <c r="Z25" t="s">
        <v>566</v>
      </c>
      <c r="AA25" t="s">
        <v>567</v>
      </c>
      <c r="AC25" t="s">
        <v>568</v>
      </c>
      <c r="AD25">
        <v>170.86699999999999</v>
      </c>
      <c r="AE25" t="s">
        <v>569</v>
      </c>
      <c r="AF25" t="s">
        <v>570</v>
      </c>
      <c r="AH25" t="s">
        <v>571</v>
      </c>
      <c r="AI25" t="s">
        <v>572</v>
      </c>
      <c r="AJ25" t="s">
        <v>573</v>
      </c>
    </row>
    <row r="26" spans="1:36" x14ac:dyDescent="0.3">
      <c r="A26">
        <v>25</v>
      </c>
      <c r="B26" t="s">
        <v>574</v>
      </c>
      <c r="C26" t="s">
        <v>575</v>
      </c>
      <c r="D26" t="s">
        <v>576</v>
      </c>
      <c r="F26" t="s">
        <v>577</v>
      </c>
      <c r="H26" t="s">
        <v>578</v>
      </c>
      <c r="I26">
        <v>90</v>
      </c>
      <c r="J26" t="s">
        <v>579</v>
      </c>
      <c r="K26" t="s">
        <v>580</v>
      </c>
      <c r="L26" t="s">
        <v>581</v>
      </c>
      <c r="M26" t="s">
        <v>582</v>
      </c>
      <c r="N26" t="s">
        <v>583</v>
      </c>
      <c r="P26" t="s">
        <v>584</v>
      </c>
      <c r="R26" t="s">
        <v>585</v>
      </c>
      <c r="T26" t="s">
        <v>586</v>
      </c>
      <c r="V26" t="s">
        <v>587</v>
      </c>
      <c r="Z26" t="s">
        <v>588</v>
      </c>
      <c r="AA26" t="s">
        <v>589</v>
      </c>
      <c r="AC26" t="s">
        <v>590</v>
      </c>
      <c r="AD26">
        <v>162.31733819999999</v>
      </c>
      <c r="AE26" t="s">
        <v>591</v>
      </c>
      <c r="AF26" t="s">
        <v>592</v>
      </c>
      <c r="AH26" t="s">
        <v>593</v>
      </c>
      <c r="AI26" t="s">
        <v>594</v>
      </c>
      <c r="AJ26" t="s">
        <v>595</v>
      </c>
    </row>
    <row r="27" spans="1:36" x14ac:dyDescent="0.3">
      <c r="A27">
        <v>26</v>
      </c>
      <c r="B27" t="s">
        <v>596</v>
      </c>
      <c r="C27" t="s">
        <v>597</v>
      </c>
      <c r="D27" t="s">
        <v>598</v>
      </c>
      <c r="F27" t="s">
        <v>599</v>
      </c>
      <c r="H27" t="s">
        <v>600</v>
      </c>
      <c r="I27">
        <v>68</v>
      </c>
      <c r="J27" t="s">
        <v>601</v>
      </c>
      <c r="K27" t="s">
        <v>602</v>
      </c>
      <c r="L27" t="s">
        <v>603</v>
      </c>
      <c r="N27" t="s">
        <v>604</v>
      </c>
      <c r="P27" t="s">
        <v>605</v>
      </c>
      <c r="Q27" t="s">
        <v>606</v>
      </c>
      <c r="R27" t="s">
        <v>607</v>
      </c>
      <c r="T27" t="s">
        <v>608</v>
      </c>
      <c r="V27" t="s">
        <v>609</v>
      </c>
      <c r="W27" t="s">
        <v>610</v>
      </c>
      <c r="Z27" t="s">
        <v>611</v>
      </c>
      <c r="AA27" t="s">
        <v>612</v>
      </c>
      <c r="AC27" t="s">
        <v>613</v>
      </c>
      <c r="AD27">
        <v>71.490811500000007</v>
      </c>
      <c r="AE27" t="s">
        <v>614</v>
      </c>
      <c r="AF27" t="s">
        <v>615</v>
      </c>
      <c r="AH27" t="s">
        <v>616</v>
      </c>
      <c r="AI27" t="s">
        <v>617</v>
      </c>
      <c r="AJ27" t="s">
        <v>618</v>
      </c>
    </row>
    <row r="28" spans="1:36" x14ac:dyDescent="0.3">
      <c r="A28">
        <v>27</v>
      </c>
      <c r="B28" t="s">
        <v>619</v>
      </c>
      <c r="C28" t="s">
        <v>620</v>
      </c>
      <c r="D28" t="s">
        <v>621</v>
      </c>
      <c r="F28" t="s">
        <v>622</v>
      </c>
      <c r="H28" t="s">
        <v>623</v>
      </c>
      <c r="I28">
        <v>90</v>
      </c>
      <c r="J28" t="s">
        <v>624</v>
      </c>
      <c r="K28" t="s">
        <v>625</v>
      </c>
      <c r="L28" t="s">
        <v>626</v>
      </c>
      <c r="N28" t="s">
        <v>627</v>
      </c>
      <c r="O28" t="s">
        <v>628</v>
      </c>
      <c r="P28" t="s">
        <v>629</v>
      </c>
      <c r="Q28" t="s">
        <v>630</v>
      </c>
      <c r="R28" t="s">
        <v>631</v>
      </c>
      <c r="T28" t="s">
        <v>632</v>
      </c>
      <c r="V28" t="s">
        <v>633</v>
      </c>
      <c r="W28" t="s">
        <v>634</v>
      </c>
      <c r="X28" t="s">
        <v>635</v>
      </c>
      <c r="Y28" t="s">
        <v>636</v>
      </c>
      <c r="Z28" t="s">
        <v>637</v>
      </c>
      <c r="AA28" t="s">
        <v>638</v>
      </c>
      <c r="AC28" t="s">
        <v>639</v>
      </c>
      <c r="AD28">
        <v>138.42663239999999</v>
      </c>
      <c r="AE28" t="s">
        <v>640</v>
      </c>
      <c r="AF28" t="s">
        <v>641</v>
      </c>
      <c r="AH28" t="s">
        <v>642</v>
      </c>
      <c r="AI28" t="s">
        <v>643</v>
      </c>
      <c r="AJ28" t="s">
        <v>644</v>
      </c>
    </row>
    <row r="29" spans="1:36" x14ac:dyDescent="0.3">
      <c r="A29">
        <v>28</v>
      </c>
      <c r="B29" t="s">
        <v>645</v>
      </c>
      <c r="C29" t="s">
        <v>646</v>
      </c>
      <c r="D29" t="s">
        <v>647</v>
      </c>
      <c r="F29" t="s">
        <v>648</v>
      </c>
      <c r="H29" t="s">
        <v>649</v>
      </c>
      <c r="I29">
        <v>25</v>
      </c>
      <c r="J29" t="s">
        <v>650</v>
      </c>
      <c r="K29" t="s">
        <v>651</v>
      </c>
      <c r="L29" t="s">
        <v>652</v>
      </c>
      <c r="N29" t="s">
        <v>653</v>
      </c>
      <c r="P29" t="s">
        <v>654</v>
      </c>
      <c r="Q29" t="s">
        <v>655</v>
      </c>
      <c r="R29" t="s">
        <v>656</v>
      </c>
      <c r="T29" t="s">
        <v>657</v>
      </c>
      <c r="V29" t="s">
        <v>658</v>
      </c>
      <c r="Z29" t="s">
        <v>659</v>
      </c>
      <c r="AA29" t="s">
        <v>660</v>
      </c>
      <c r="AC29" t="s">
        <v>661</v>
      </c>
      <c r="AD29">
        <v>121.591313</v>
      </c>
      <c r="AE29" t="s">
        <v>662</v>
      </c>
      <c r="AF29" t="s">
        <v>663</v>
      </c>
      <c r="AH29" t="s">
        <v>664</v>
      </c>
      <c r="AI29" t="s">
        <v>665</v>
      </c>
      <c r="AJ29" t="s">
        <v>666</v>
      </c>
    </row>
    <row r="30" spans="1:36" x14ac:dyDescent="0.3">
      <c r="A30">
        <v>29</v>
      </c>
      <c r="B30" t="s">
        <v>667</v>
      </c>
      <c r="C30" t="s">
        <v>668</v>
      </c>
      <c r="D30" t="s">
        <v>669</v>
      </c>
      <c r="F30" t="s">
        <v>670</v>
      </c>
      <c r="H30" t="s">
        <v>671</v>
      </c>
      <c r="I30">
        <v>67</v>
      </c>
      <c r="J30" t="s">
        <v>672</v>
      </c>
      <c r="K30" t="s">
        <v>673</v>
      </c>
      <c r="L30" t="s">
        <v>674</v>
      </c>
      <c r="N30" t="s">
        <v>675</v>
      </c>
      <c r="P30" t="s">
        <v>676</v>
      </c>
      <c r="R30" t="s">
        <v>677</v>
      </c>
      <c r="T30" t="s">
        <v>678</v>
      </c>
      <c r="V30" t="s">
        <v>679</v>
      </c>
      <c r="Z30" t="s">
        <v>680</v>
      </c>
      <c r="AA30" t="s">
        <v>681</v>
      </c>
      <c r="AC30" t="s">
        <v>682</v>
      </c>
      <c r="AD30">
        <v>145.02114120000002</v>
      </c>
      <c r="AE30" t="s">
        <v>683</v>
      </c>
      <c r="AF30" t="s">
        <v>684</v>
      </c>
      <c r="AH30" t="s">
        <v>685</v>
      </c>
      <c r="AI30" t="s">
        <v>686</v>
      </c>
      <c r="AJ30" t="s">
        <v>687</v>
      </c>
    </row>
    <row r="31" spans="1:36" x14ac:dyDescent="0.3">
      <c r="A31">
        <v>30</v>
      </c>
      <c r="B31" t="s">
        <v>688</v>
      </c>
      <c r="C31" t="s">
        <v>689</v>
      </c>
      <c r="D31" t="s">
        <v>690</v>
      </c>
      <c r="F31" t="s">
        <v>691</v>
      </c>
      <c r="H31" t="s">
        <v>692</v>
      </c>
      <c r="I31">
        <v>25</v>
      </c>
      <c r="J31" t="s">
        <v>693</v>
      </c>
      <c r="K31" t="s">
        <v>694</v>
      </c>
      <c r="L31" t="s">
        <v>695</v>
      </c>
      <c r="N31" t="s">
        <v>696</v>
      </c>
      <c r="P31" t="s">
        <v>697</v>
      </c>
      <c r="R31" t="s">
        <v>698</v>
      </c>
      <c r="T31" t="s">
        <v>699</v>
      </c>
      <c r="V31" t="s">
        <v>700</v>
      </c>
      <c r="Z31" t="s">
        <v>701</v>
      </c>
      <c r="AA31" t="s">
        <v>702</v>
      </c>
      <c r="AC31" t="s">
        <v>703</v>
      </c>
      <c r="AD31">
        <v>103.1649816</v>
      </c>
      <c r="AE31" t="s">
        <v>704</v>
      </c>
      <c r="AF31" t="s">
        <v>705</v>
      </c>
      <c r="AH31" t="s">
        <v>706</v>
      </c>
      <c r="AI31" t="s">
        <v>707</v>
      </c>
      <c r="AJ31" t="s">
        <v>708</v>
      </c>
    </row>
    <row r="32" spans="1:36" x14ac:dyDescent="0.3">
      <c r="A32">
        <v>31</v>
      </c>
      <c r="B32" t="s">
        <v>709</v>
      </c>
      <c r="C32" t="s">
        <v>710</v>
      </c>
      <c r="D32" t="s">
        <v>711</v>
      </c>
      <c r="F32" t="s">
        <v>712</v>
      </c>
      <c r="H32" t="s">
        <v>713</v>
      </c>
      <c r="I32">
        <v>70</v>
      </c>
      <c r="J32" t="s">
        <v>714</v>
      </c>
      <c r="K32" t="s">
        <v>715</v>
      </c>
      <c r="L32" t="s">
        <v>716</v>
      </c>
      <c r="N32" t="s">
        <v>717</v>
      </c>
      <c r="P32" t="s">
        <v>718</v>
      </c>
      <c r="Q32" t="s">
        <v>719</v>
      </c>
      <c r="R32" t="s">
        <v>720</v>
      </c>
      <c r="T32" t="s">
        <v>721</v>
      </c>
      <c r="V32" t="s">
        <v>722</v>
      </c>
      <c r="Z32" t="s">
        <v>723</v>
      </c>
      <c r="AA32" t="s">
        <v>724</v>
      </c>
      <c r="AC32" t="s">
        <v>725</v>
      </c>
      <c r="AD32">
        <v>301.3064339</v>
      </c>
      <c r="AE32" t="s">
        <v>726</v>
      </c>
      <c r="AF32" t="s">
        <v>727</v>
      </c>
      <c r="AH32" t="s">
        <v>728</v>
      </c>
      <c r="AI32" t="s">
        <v>729</v>
      </c>
      <c r="AJ32" t="s">
        <v>730</v>
      </c>
    </row>
    <row r="33" spans="1:36" x14ac:dyDescent="0.3">
      <c r="A33">
        <v>32</v>
      </c>
      <c r="B33" t="s">
        <v>731</v>
      </c>
      <c r="C33" t="s">
        <v>732</v>
      </c>
      <c r="D33" t="s">
        <v>733</v>
      </c>
      <c r="F33" t="s">
        <v>734</v>
      </c>
      <c r="H33" t="s">
        <v>735</v>
      </c>
      <c r="I33">
        <v>25</v>
      </c>
      <c r="J33" t="s">
        <v>736</v>
      </c>
      <c r="K33" t="s">
        <v>737</v>
      </c>
      <c r="L33" t="s">
        <v>738</v>
      </c>
      <c r="N33" t="s">
        <v>739</v>
      </c>
      <c r="P33" t="s">
        <v>740</v>
      </c>
      <c r="R33" t="s">
        <v>741</v>
      </c>
      <c r="T33" t="s">
        <v>742</v>
      </c>
      <c r="V33" t="s">
        <v>743</v>
      </c>
      <c r="Z33" t="s">
        <v>744</v>
      </c>
      <c r="AA33" t="s">
        <v>745</v>
      </c>
      <c r="AC33" t="s">
        <v>746</v>
      </c>
      <c r="AD33">
        <v>149.74608050000001</v>
      </c>
      <c r="AE33" t="s">
        <v>747</v>
      </c>
      <c r="AF33" t="s">
        <v>748</v>
      </c>
      <c r="AH33" t="s">
        <v>749</v>
      </c>
      <c r="AI33" t="s">
        <v>750</v>
      </c>
      <c r="AJ33" t="s">
        <v>751</v>
      </c>
    </row>
    <row r="34" spans="1:36" x14ac:dyDescent="0.3">
      <c r="A34">
        <v>33</v>
      </c>
      <c r="B34" t="s">
        <v>752</v>
      </c>
      <c r="C34" t="s">
        <v>753</v>
      </c>
      <c r="D34" t="s">
        <v>754</v>
      </c>
      <c r="F34" t="s">
        <v>755</v>
      </c>
      <c r="H34" t="s">
        <v>756</v>
      </c>
      <c r="I34">
        <v>90</v>
      </c>
      <c r="J34" t="s">
        <v>757</v>
      </c>
      <c r="K34" t="s">
        <v>758</v>
      </c>
      <c r="L34" t="s">
        <v>759</v>
      </c>
      <c r="N34" t="s">
        <v>760</v>
      </c>
      <c r="P34" t="s">
        <v>761</v>
      </c>
      <c r="Q34" t="s">
        <v>762</v>
      </c>
      <c r="R34" t="s">
        <v>763</v>
      </c>
      <c r="T34" t="s">
        <v>764</v>
      </c>
      <c r="V34" t="s">
        <v>765</v>
      </c>
      <c r="W34" t="s">
        <v>766</v>
      </c>
      <c r="X34" t="s">
        <v>767</v>
      </c>
      <c r="Y34" t="s">
        <v>768</v>
      </c>
      <c r="Z34" t="s">
        <v>769</v>
      </c>
      <c r="AA34" t="s">
        <v>770</v>
      </c>
      <c r="AC34" t="s">
        <v>771</v>
      </c>
      <c r="AD34">
        <v>526.45138420000001</v>
      </c>
      <c r="AE34" t="s">
        <v>772</v>
      </c>
      <c r="AF34" t="s">
        <v>773</v>
      </c>
      <c r="AH34" t="s">
        <v>774</v>
      </c>
      <c r="AI34" t="s">
        <v>775</v>
      </c>
      <c r="AJ34" t="s">
        <v>776</v>
      </c>
    </row>
    <row r="35" spans="1:36" x14ac:dyDescent="0.3">
      <c r="A35">
        <v>34</v>
      </c>
      <c r="B35" t="s">
        <v>777</v>
      </c>
      <c r="C35" t="s">
        <v>778</v>
      </c>
      <c r="D35" t="s">
        <v>779</v>
      </c>
      <c r="F35" t="s">
        <v>780</v>
      </c>
      <c r="H35" t="s">
        <v>781</v>
      </c>
      <c r="I35">
        <v>25</v>
      </c>
      <c r="J35" t="s">
        <v>782</v>
      </c>
      <c r="K35" t="s">
        <v>783</v>
      </c>
      <c r="L35" t="s">
        <v>784</v>
      </c>
      <c r="N35" t="s">
        <v>785</v>
      </c>
      <c r="P35" t="s">
        <v>786</v>
      </c>
      <c r="R35" t="s">
        <v>787</v>
      </c>
      <c r="T35" t="s">
        <v>788</v>
      </c>
      <c r="V35" t="s">
        <v>789</v>
      </c>
      <c r="Z35" t="s">
        <v>790</v>
      </c>
      <c r="AA35" t="s">
        <v>791</v>
      </c>
      <c r="AC35" t="s">
        <v>792</v>
      </c>
      <c r="AD35">
        <v>114.06021270000001</v>
      </c>
      <c r="AE35" t="s">
        <v>793</v>
      </c>
      <c r="AF35" t="s">
        <v>794</v>
      </c>
      <c r="AH35" t="s">
        <v>795</v>
      </c>
      <c r="AI35" t="s">
        <v>796</v>
      </c>
      <c r="AJ35" t="s">
        <v>797</v>
      </c>
    </row>
    <row r="36" spans="1:36" x14ac:dyDescent="0.3">
      <c r="A36">
        <v>35</v>
      </c>
      <c r="B36" t="s">
        <v>798</v>
      </c>
      <c r="C36" t="s">
        <v>799</v>
      </c>
      <c r="D36" t="s">
        <v>800</v>
      </c>
      <c r="F36" t="s">
        <v>801</v>
      </c>
      <c r="H36" t="s">
        <v>802</v>
      </c>
      <c r="I36">
        <v>25</v>
      </c>
      <c r="J36" t="s">
        <v>803</v>
      </c>
      <c r="K36" t="s">
        <v>804</v>
      </c>
      <c r="L36" t="s">
        <v>805</v>
      </c>
      <c r="N36" t="s">
        <v>806</v>
      </c>
      <c r="O36" t="s">
        <v>807</v>
      </c>
      <c r="P36" t="s">
        <v>808</v>
      </c>
      <c r="Q36" t="s">
        <v>809</v>
      </c>
      <c r="R36" t="s">
        <v>810</v>
      </c>
      <c r="T36" t="s">
        <v>811</v>
      </c>
      <c r="V36" t="s">
        <v>812</v>
      </c>
      <c r="Z36" t="s">
        <v>813</v>
      </c>
      <c r="AA36" t="s">
        <v>814</v>
      </c>
      <c r="AC36" t="s">
        <v>815</v>
      </c>
      <c r="AD36">
        <v>129.656586</v>
      </c>
      <c r="AE36" t="s">
        <v>816</v>
      </c>
      <c r="AF36" t="s">
        <v>817</v>
      </c>
      <c r="AH36" t="s">
        <v>818</v>
      </c>
      <c r="AI36" t="s">
        <v>819</v>
      </c>
      <c r="AJ36" t="s">
        <v>820</v>
      </c>
    </row>
    <row r="37" spans="1:36" x14ac:dyDescent="0.3">
      <c r="A37">
        <v>36</v>
      </c>
      <c r="B37" t="s">
        <v>821</v>
      </c>
      <c r="C37" t="s">
        <v>822</v>
      </c>
      <c r="D37" t="s">
        <v>823</v>
      </c>
      <c r="F37" t="s">
        <v>824</v>
      </c>
      <c r="H37" t="s">
        <v>825</v>
      </c>
      <c r="I37">
        <v>68</v>
      </c>
      <c r="J37" t="s">
        <v>826</v>
      </c>
      <c r="K37" t="s">
        <v>827</v>
      </c>
      <c r="L37" t="s">
        <v>828</v>
      </c>
      <c r="N37" t="s">
        <v>829</v>
      </c>
      <c r="P37" t="s">
        <v>830</v>
      </c>
      <c r="R37" t="s">
        <v>831</v>
      </c>
      <c r="T37" t="s">
        <v>832</v>
      </c>
      <c r="V37" t="s">
        <v>833</v>
      </c>
      <c r="Z37" t="s">
        <v>834</v>
      </c>
      <c r="AA37" t="s">
        <v>835</v>
      </c>
      <c r="AC37" t="s">
        <v>836</v>
      </c>
      <c r="AD37">
        <v>72.632957000000005</v>
      </c>
      <c r="AE37" t="s">
        <v>837</v>
      </c>
      <c r="AF37" t="s">
        <v>838</v>
      </c>
      <c r="AH37" t="s">
        <v>839</v>
      </c>
      <c r="AI37" t="s">
        <v>840</v>
      </c>
      <c r="AJ37" t="s">
        <v>841</v>
      </c>
    </row>
    <row r="38" spans="1:36" x14ac:dyDescent="0.3">
      <c r="A38">
        <v>37</v>
      </c>
      <c r="B38" t="s">
        <v>842</v>
      </c>
      <c r="C38" t="s">
        <v>843</v>
      </c>
      <c r="D38" t="s">
        <v>844</v>
      </c>
      <c r="F38" t="s">
        <v>845</v>
      </c>
      <c r="H38" t="s">
        <v>846</v>
      </c>
      <c r="I38">
        <v>90</v>
      </c>
      <c r="J38" t="s">
        <v>847</v>
      </c>
      <c r="K38" t="s">
        <v>848</v>
      </c>
      <c r="L38" t="s">
        <v>849</v>
      </c>
      <c r="N38" t="s">
        <v>850</v>
      </c>
      <c r="P38" t="s">
        <v>851</v>
      </c>
      <c r="R38" t="s">
        <v>852</v>
      </c>
      <c r="T38" t="s">
        <v>853</v>
      </c>
      <c r="V38" t="s">
        <v>854</v>
      </c>
      <c r="Z38" t="s">
        <v>855</v>
      </c>
      <c r="AA38" t="s">
        <v>856</v>
      </c>
      <c r="AC38" t="s">
        <v>857</v>
      </c>
      <c r="AD38">
        <v>214.03220639999998</v>
      </c>
      <c r="AE38" t="s">
        <v>858</v>
      </c>
      <c r="AF38" t="s">
        <v>859</v>
      </c>
      <c r="AH38" t="s">
        <v>860</v>
      </c>
      <c r="AI38" t="s">
        <v>861</v>
      </c>
      <c r="AJ38" t="s">
        <v>862</v>
      </c>
    </row>
    <row r="39" spans="1:36" x14ac:dyDescent="0.3">
      <c r="A39">
        <v>38</v>
      </c>
      <c r="B39" t="s">
        <v>863</v>
      </c>
      <c r="C39" t="s">
        <v>864</v>
      </c>
      <c r="D39" t="s">
        <v>865</v>
      </c>
      <c r="F39" t="s">
        <v>866</v>
      </c>
      <c r="H39" t="s">
        <v>867</v>
      </c>
      <c r="I39">
        <v>25</v>
      </c>
      <c r="J39" t="s">
        <v>868</v>
      </c>
      <c r="K39" t="s">
        <v>869</v>
      </c>
      <c r="L39" t="s">
        <v>870</v>
      </c>
      <c r="N39" t="s">
        <v>871</v>
      </c>
      <c r="P39" t="s">
        <v>872</v>
      </c>
      <c r="R39" t="s">
        <v>873</v>
      </c>
      <c r="T39" t="s">
        <v>874</v>
      </c>
      <c r="V39" t="s">
        <v>875</v>
      </c>
      <c r="Z39" t="s">
        <v>876</v>
      </c>
      <c r="AA39" t="s">
        <v>877</v>
      </c>
      <c r="AC39" t="s">
        <v>878</v>
      </c>
      <c r="AD39">
        <v>165.78953609999999</v>
      </c>
      <c r="AE39" t="s">
        <v>879</v>
      </c>
      <c r="AF39" t="s">
        <v>880</v>
      </c>
      <c r="AH39" t="s">
        <v>881</v>
      </c>
      <c r="AI39" t="s">
        <v>882</v>
      </c>
      <c r="AJ39" t="s">
        <v>883</v>
      </c>
    </row>
    <row r="40" spans="1:36" x14ac:dyDescent="0.3">
      <c r="A40">
        <v>39</v>
      </c>
      <c r="B40" t="s">
        <v>884</v>
      </c>
      <c r="C40" t="s">
        <v>885</v>
      </c>
      <c r="D40" t="s">
        <v>886</v>
      </c>
      <c r="F40" t="s">
        <v>887</v>
      </c>
      <c r="H40" t="s">
        <v>888</v>
      </c>
      <c r="I40">
        <v>90</v>
      </c>
      <c r="J40" t="s">
        <v>889</v>
      </c>
      <c r="K40" t="s">
        <v>890</v>
      </c>
      <c r="L40" t="s">
        <v>891</v>
      </c>
      <c r="N40" t="s">
        <v>892</v>
      </c>
      <c r="P40" t="s">
        <v>893</v>
      </c>
      <c r="Q40" t="s">
        <v>894</v>
      </c>
      <c r="R40" t="s">
        <v>895</v>
      </c>
      <c r="T40" t="s">
        <v>896</v>
      </c>
      <c r="V40" t="s">
        <v>897</v>
      </c>
      <c r="Z40" t="s">
        <v>898</v>
      </c>
      <c r="AA40" t="s">
        <v>899</v>
      </c>
      <c r="AC40" t="s">
        <v>900</v>
      </c>
      <c r="AD40">
        <v>335.01984729999998</v>
      </c>
      <c r="AE40" t="s">
        <v>901</v>
      </c>
      <c r="AF40" t="s">
        <v>902</v>
      </c>
      <c r="AH40" t="s">
        <v>903</v>
      </c>
      <c r="AI40" t="s">
        <v>904</v>
      </c>
      <c r="AJ40" t="s">
        <v>905</v>
      </c>
    </row>
    <row r="41" spans="1:36" x14ac:dyDescent="0.3">
      <c r="A41">
        <v>40</v>
      </c>
      <c r="B41" t="s">
        <v>906</v>
      </c>
      <c r="C41" t="s">
        <v>907</v>
      </c>
      <c r="D41" t="s">
        <v>908</v>
      </c>
      <c r="F41" t="s">
        <v>909</v>
      </c>
      <c r="H41" t="s">
        <v>910</v>
      </c>
      <c r="I41">
        <v>25</v>
      </c>
      <c r="J41" t="s">
        <v>911</v>
      </c>
      <c r="K41" t="s">
        <v>912</v>
      </c>
      <c r="L41" t="s">
        <v>913</v>
      </c>
      <c r="N41" t="s">
        <v>914</v>
      </c>
      <c r="P41" t="s">
        <v>915</v>
      </c>
      <c r="Q41" t="s">
        <v>916</v>
      </c>
      <c r="R41" t="s">
        <v>917</v>
      </c>
      <c r="T41" t="s">
        <v>918</v>
      </c>
      <c r="V41" t="s">
        <v>919</v>
      </c>
      <c r="W41" t="s">
        <v>920</v>
      </c>
      <c r="X41" t="s">
        <v>921</v>
      </c>
      <c r="Z41" t="s">
        <v>922</v>
      </c>
      <c r="AA41" t="s">
        <v>923</v>
      </c>
      <c r="AC41" t="s">
        <v>924</v>
      </c>
      <c r="AD41">
        <v>1988.7367101</v>
      </c>
      <c r="AE41" t="s">
        <v>925</v>
      </c>
      <c r="AF41" t="s">
        <v>926</v>
      </c>
      <c r="AH41" t="s">
        <v>927</v>
      </c>
      <c r="AI41" t="s">
        <v>928</v>
      </c>
      <c r="AJ41" t="s">
        <v>929</v>
      </c>
    </row>
    <row r="42" spans="1:36" x14ac:dyDescent="0.3">
      <c r="A42">
        <v>41</v>
      </c>
      <c r="B42" t="s">
        <v>930</v>
      </c>
      <c r="C42" t="s">
        <v>931</v>
      </c>
      <c r="D42" t="s">
        <v>932</v>
      </c>
      <c r="F42" t="s">
        <v>933</v>
      </c>
      <c r="H42" t="s">
        <v>934</v>
      </c>
      <c r="I42">
        <v>25</v>
      </c>
      <c r="J42" t="s">
        <v>935</v>
      </c>
      <c r="K42" t="s">
        <v>936</v>
      </c>
      <c r="L42" t="s">
        <v>937</v>
      </c>
      <c r="N42" t="s">
        <v>938</v>
      </c>
      <c r="P42" t="s">
        <v>939</v>
      </c>
      <c r="Q42" t="s">
        <v>940</v>
      </c>
      <c r="R42" t="s">
        <v>941</v>
      </c>
      <c r="T42" t="s">
        <v>942</v>
      </c>
      <c r="V42" t="s">
        <v>943</v>
      </c>
      <c r="W42" t="s">
        <v>944</v>
      </c>
      <c r="X42" t="s">
        <v>945</v>
      </c>
      <c r="Z42" t="s">
        <v>946</v>
      </c>
      <c r="AA42" t="s">
        <v>947</v>
      </c>
      <c r="AC42" t="s">
        <v>948</v>
      </c>
      <c r="AD42">
        <v>223.71852179999999</v>
      </c>
      <c r="AE42" t="s">
        <v>949</v>
      </c>
      <c r="AF42" t="s">
        <v>950</v>
      </c>
      <c r="AH42" t="s">
        <v>951</v>
      </c>
      <c r="AI42" t="s">
        <v>952</v>
      </c>
      <c r="AJ42" t="s">
        <v>953</v>
      </c>
    </row>
    <row r="43" spans="1:36" x14ac:dyDescent="0.3">
      <c r="A43">
        <v>42</v>
      </c>
      <c r="B43" t="s">
        <v>954</v>
      </c>
      <c r="C43" t="s">
        <v>955</v>
      </c>
      <c r="D43" t="s">
        <v>956</v>
      </c>
      <c r="F43" t="s">
        <v>957</v>
      </c>
      <c r="H43" t="s">
        <v>958</v>
      </c>
      <c r="I43">
        <v>25</v>
      </c>
      <c r="J43" t="s">
        <v>959</v>
      </c>
      <c r="K43" t="s">
        <v>960</v>
      </c>
      <c r="L43" t="s">
        <v>961</v>
      </c>
      <c r="N43" t="s">
        <v>962</v>
      </c>
      <c r="O43" t="s">
        <v>963</v>
      </c>
      <c r="P43" t="s">
        <v>964</v>
      </c>
      <c r="Q43" t="s">
        <v>965</v>
      </c>
      <c r="R43" t="s">
        <v>966</v>
      </c>
      <c r="T43" t="s">
        <v>967</v>
      </c>
      <c r="V43" t="s">
        <v>968</v>
      </c>
      <c r="Z43" t="s">
        <v>969</v>
      </c>
      <c r="AA43" t="s">
        <v>970</v>
      </c>
      <c r="AC43" t="s">
        <v>971</v>
      </c>
      <c r="AD43">
        <v>176.19824259999999</v>
      </c>
      <c r="AE43" t="s">
        <v>972</v>
      </c>
      <c r="AF43" t="s">
        <v>973</v>
      </c>
      <c r="AH43" t="s">
        <v>974</v>
      </c>
      <c r="AI43" t="s">
        <v>975</v>
      </c>
      <c r="AJ43" t="s">
        <v>976</v>
      </c>
    </row>
    <row r="44" spans="1:36" x14ac:dyDescent="0.3">
      <c r="A44">
        <v>43</v>
      </c>
      <c r="B44" t="s">
        <v>977</v>
      </c>
      <c r="C44" t="s">
        <v>978</v>
      </c>
      <c r="D44" t="s">
        <v>979</v>
      </c>
      <c r="F44" t="s">
        <v>980</v>
      </c>
      <c r="H44" t="s">
        <v>981</v>
      </c>
      <c r="I44">
        <v>25</v>
      </c>
      <c r="J44" t="s">
        <v>982</v>
      </c>
      <c r="K44" t="s">
        <v>983</v>
      </c>
      <c r="L44" t="s">
        <v>984</v>
      </c>
      <c r="N44" t="s">
        <v>985</v>
      </c>
      <c r="P44" t="s">
        <v>986</v>
      </c>
      <c r="Q44" t="s">
        <v>987</v>
      </c>
      <c r="R44" t="s">
        <v>988</v>
      </c>
      <c r="T44" t="s">
        <v>989</v>
      </c>
      <c r="V44" t="s">
        <v>990</v>
      </c>
      <c r="Z44" t="s">
        <v>991</v>
      </c>
      <c r="AA44" t="s">
        <v>992</v>
      </c>
      <c r="AC44" t="s">
        <v>993</v>
      </c>
      <c r="AD44">
        <v>105.1355855</v>
      </c>
      <c r="AE44" t="s">
        <v>994</v>
      </c>
      <c r="AF44" t="s">
        <v>995</v>
      </c>
      <c r="AH44" t="s">
        <v>996</v>
      </c>
      <c r="AI44" t="s">
        <v>997</v>
      </c>
      <c r="AJ44" t="s">
        <v>998</v>
      </c>
    </row>
    <row r="45" spans="1:36" x14ac:dyDescent="0.3">
      <c r="A45">
        <v>44</v>
      </c>
      <c r="B45" t="s">
        <v>999</v>
      </c>
      <c r="C45" t="s">
        <v>1000</v>
      </c>
      <c r="D45" t="s">
        <v>1001</v>
      </c>
      <c r="F45" t="s">
        <v>1002</v>
      </c>
      <c r="H45" t="s">
        <v>1003</v>
      </c>
      <c r="I45">
        <v>25</v>
      </c>
      <c r="J45" t="s">
        <v>1004</v>
      </c>
      <c r="K45" t="s">
        <v>1005</v>
      </c>
      <c r="L45" t="s">
        <v>1006</v>
      </c>
      <c r="N45" t="s">
        <v>1007</v>
      </c>
      <c r="P45" t="s">
        <v>1008</v>
      </c>
      <c r="Q45" t="s">
        <v>1009</v>
      </c>
      <c r="R45" t="s">
        <v>1010</v>
      </c>
      <c r="T45" t="s">
        <v>1011</v>
      </c>
      <c r="V45" t="s">
        <v>1012</v>
      </c>
      <c r="W45" t="s">
        <v>1013</v>
      </c>
      <c r="X45" t="s">
        <v>1014</v>
      </c>
      <c r="Z45" t="s">
        <v>1015</v>
      </c>
      <c r="AA45" t="s">
        <v>1016</v>
      </c>
      <c r="AC45" t="s">
        <v>1017</v>
      </c>
      <c r="AD45">
        <v>348.30211170000001</v>
      </c>
      <c r="AE45" t="s">
        <v>1018</v>
      </c>
      <c r="AF45" t="s">
        <v>1019</v>
      </c>
      <c r="AH45" t="s">
        <v>1020</v>
      </c>
      <c r="AI45" t="s">
        <v>1021</v>
      </c>
      <c r="AJ45" t="s">
        <v>1022</v>
      </c>
    </row>
    <row r="46" spans="1:36" x14ac:dyDescent="0.3">
      <c r="A46">
        <v>45</v>
      </c>
      <c r="B46" t="s">
        <v>1023</v>
      </c>
      <c r="C46" t="s">
        <v>1024</v>
      </c>
      <c r="D46" t="s">
        <v>1025</v>
      </c>
      <c r="F46" t="s">
        <v>1026</v>
      </c>
      <c r="H46" t="s">
        <v>1027</v>
      </c>
      <c r="I46">
        <v>25</v>
      </c>
      <c r="J46" t="s">
        <v>1028</v>
      </c>
      <c r="K46" t="s">
        <v>1029</v>
      </c>
      <c r="L46" t="s">
        <v>1030</v>
      </c>
      <c r="N46" t="s">
        <v>1031</v>
      </c>
      <c r="P46" t="s">
        <v>1032</v>
      </c>
      <c r="Q46" t="s">
        <v>1033</v>
      </c>
      <c r="R46" t="s">
        <v>1034</v>
      </c>
      <c r="T46" t="s">
        <v>1035</v>
      </c>
      <c r="V46" t="s">
        <v>1036</v>
      </c>
      <c r="Z46" t="s">
        <v>1037</v>
      </c>
      <c r="AA46" t="s">
        <v>1038</v>
      </c>
      <c r="AC46" t="s">
        <v>1039</v>
      </c>
      <c r="AD46">
        <v>135.3127724</v>
      </c>
      <c r="AE46" t="s">
        <v>1040</v>
      </c>
      <c r="AF46" t="s">
        <v>1041</v>
      </c>
      <c r="AH46" t="s">
        <v>1042</v>
      </c>
      <c r="AI46" t="s">
        <v>1043</v>
      </c>
      <c r="AJ46" t="s">
        <v>1044</v>
      </c>
    </row>
    <row r="47" spans="1:36" x14ac:dyDescent="0.3">
      <c r="A47">
        <v>46</v>
      </c>
      <c r="B47" t="s">
        <v>1045</v>
      </c>
      <c r="C47" t="s">
        <v>1046</v>
      </c>
      <c r="D47" t="s">
        <v>1047</v>
      </c>
      <c r="F47" t="s">
        <v>1048</v>
      </c>
      <c r="H47" t="s">
        <v>1049</v>
      </c>
      <c r="I47">
        <v>25</v>
      </c>
      <c r="J47" t="s">
        <v>1050</v>
      </c>
      <c r="K47" t="s">
        <v>1051</v>
      </c>
      <c r="L47" t="s">
        <v>1052</v>
      </c>
      <c r="N47" t="s">
        <v>1053</v>
      </c>
      <c r="O47" t="s">
        <v>1054</v>
      </c>
      <c r="P47" t="s">
        <v>1055</v>
      </c>
      <c r="Q47" t="s">
        <v>1056</v>
      </c>
      <c r="R47" t="s">
        <v>1057</v>
      </c>
      <c r="T47" t="s">
        <v>1058</v>
      </c>
      <c r="V47" t="s">
        <v>1059</v>
      </c>
      <c r="W47" t="s">
        <v>1060</v>
      </c>
      <c r="X47" t="s">
        <v>1061</v>
      </c>
      <c r="Z47" t="s">
        <v>1062</v>
      </c>
      <c r="AA47" t="s">
        <v>1063</v>
      </c>
      <c r="AC47" t="s">
        <v>1064</v>
      </c>
      <c r="AD47">
        <v>113.6843511</v>
      </c>
      <c r="AE47" t="s">
        <v>1065</v>
      </c>
      <c r="AF47" t="s">
        <v>1066</v>
      </c>
      <c r="AH47" t="s">
        <v>1067</v>
      </c>
      <c r="AI47" t="s">
        <v>1068</v>
      </c>
      <c r="AJ47" t="s">
        <v>1069</v>
      </c>
    </row>
    <row r="48" spans="1:36" x14ac:dyDescent="0.3">
      <c r="A48">
        <v>47</v>
      </c>
      <c r="B48" t="s">
        <v>1070</v>
      </c>
      <c r="C48" t="s">
        <v>1071</v>
      </c>
      <c r="D48" t="s">
        <v>1072</v>
      </c>
      <c r="F48" t="s">
        <v>1073</v>
      </c>
      <c r="H48" t="s">
        <v>1074</v>
      </c>
      <c r="I48">
        <v>90</v>
      </c>
      <c r="J48" t="s">
        <v>1075</v>
      </c>
      <c r="K48" t="s">
        <v>1076</v>
      </c>
      <c r="L48" t="s">
        <v>1077</v>
      </c>
      <c r="N48" t="s">
        <v>1078</v>
      </c>
      <c r="O48" t="s">
        <v>1079</v>
      </c>
      <c r="P48" t="s">
        <v>1080</v>
      </c>
      <c r="Q48" t="s">
        <v>1081</v>
      </c>
      <c r="R48" t="s">
        <v>1082</v>
      </c>
      <c r="T48" t="s">
        <v>1083</v>
      </c>
      <c r="V48" t="s">
        <v>1084</v>
      </c>
      <c r="W48" t="s">
        <v>1085</v>
      </c>
      <c r="X48" t="s">
        <v>1086</v>
      </c>
      <c r="Z48" t="s">
        <v>1087</v>
      </c>
      <c r="AA48" t="s">
        <v>1088</v>
      </c>
      <c r="AC48" t="s">
        <v>1089</v>
      </c>
      <c r="AD48">
        <v>136.34149170000001</v>
      </c>
      <c r="AE48" t="s">
        <v>1090</v>
      </c>
      <c r="AF48" t="s">
        <v>1091</v>
      </c>
      <c r="AH48" t="s">
        <v>1092</v>
      </c>
      <c r="AI48" t="s">
        <v>1093</v>
      </c>
      <c r="AJ48" t="s">
        <v>1094</v>
      </c>
    </row>
    <row r="49" spans="1:36" x14ac:dyDescent="0.3">
      <c r="A49">
        <v>48</v>
      </c>
      <c r="B49" t="s">
        <v>1095</v>
      </c>
      <c r="C49" t="s">
        <v>1096</v>
      </c>
      <c r="D49" t="s">
        <v>1097</v>
      </c>
      <c r="F49" t="s">
        <v>1098</v>
      </c>
      <c r="H49" t="s">
        <v>1099</v>
      </c>
      <c r="I49">
        <v>70</v>
      </c>
      <c r="J49" t="s">
        <v>1100</v>
      </c>
      <c r="K49" t="s">
        <v>1101</v>
      </c>
      <c r="L49" t="s">
        <v>1102</v>
      </c>
      <c r="N49" t="s">
        <v>1103</v>
      </c>
      <c r="O49" t="s">
        <v>1104</v>
      </c>
      <c r="P49" t="s">
        <v>1105</v>
      </c>
      <c r="Q49" t="s">
        <v>1106</v>
      </c>
      <c r="R49" t="s">
        <v>1107</v>
      </c>
      <c r="T49" t="s">
        <v>1108</v>
      </c>
      <c r="V49" t="s">
        <v>1109</v>
      </c>
      <c r="Z49" t="s">
        <v>1110</v>
      </c>
      <c r="AA49" t="s">
        <v>1111</v>
      </c>
      <c r="AC49" t="s">
        <v>1112</v>
      </c>
      <c r="AD49">
        <v>190.88093590000003</v>
      </c>
      <c r="AE49" t="s">
        <v>1113</v>
      </c>
      <c r="AF49" t="s">
        <v>1114</v>
      </c>
      <c r="AH49" t="s">
        <v>1115</v>
      </c>
      <c r="AI49" t="s">
        <v>1116</v>
      </c>
      <c r="AJ49" t="s">
        <v>1117</v>
      </c>
    </row>
    <row r="50" spans="1:36" x14ac:dyDescent="0.3">
      <c r="A50">
        <v>49</v>
      </c>
      <c r="B50" t="s">
        <v>1118</v>
      </c>
      <c r="C50" t="s">
        <v>1119</v>
      </c>
      <c r="D50" t="s">
        <v>1120</v>
      </c>
      <c r="F50" t="s">
        <v>1121</v>
      </c>
      <c r="H50" t="s">
        <v>1122</v>
      </c>
      <c r="I50">
        <v>90</v>
      </c>
      <c r="J50" t="s">
        <v>1123</v>
      </c>
      <c r="K50" t="s">
        <v>1124</v>
      </c>
      <c r="L50" t="s">
        <v>1125</v>
      </c>
      <c r="N50" t="s">
        <v>1126</v>
      </c>
      <c r="O50" t="s">
        <v>1127</v>
      </c>
      <c r="P50" t="s">
        <v>1128</v>
      </c>
      <c r="Q50" t="s">
        <v>1129</v>
      </c>
      <c r="R50" t="s">
        <v>1130</v>
      </c>
      <c r="T50" t="s">
        <v>1131</v>
      </c>
      <c r="V50" t="s">
        <v>1132</v>
      </c>
      <c r="Z50" t="s">
        <v>1133</v>
      </c>
      <c r="AA50" t="s">
        <v>1134</v>
      </c>
      <c r="AC50" t="s">
        <v>1135</v>
      </c>
      <c r="AD50">
        <v>194.75644600000001</v>
      </c>
      <c r="AE50" t="s">
        <v>1136</v>
      </c>
      <c r="AF50" t="s">
        <v>1137</v>
      </c>
      <c r="AH50" t="s">
        <v>1138</v>
      </c>
      <c r="AI50" t="s">
        <v>1139</v>
      </c>
      <c r="AJ50" t="s">
        <v>1140</v>
      </c>
    </row>
    <row r="51" spans="1:36" x14ac:dyDescent="0.3">
      <c r="A51">
        <v>50</v>
      </c>
      <c r="B51" t="s">
        <v>1141</v>
      </c>
      <c r="C51" t="s">
        <v>1142</v>
      </c>
      <c r="D51" t="s">
        <v>1143</v>
      </c>
      <c r="F51" t="s">
        <v>1144</v>
      </c>
      <c r="H51" t="s">
        <v>1145</v>
      </c>
      <c r="I51">
        <v>70</v>
      </c>
      <c r="J51" t="s">
        <v>1146</v>
      </c>
      <c r="K51" t="s">
        <v>1147</v>
      </c>
      <c r="L51" t="s">
        <v>1148</v>
      </c>
      <c r="N51" t="s">
        <v>1149</v>
      </c>
      <c r="O51" t="s">
        <v>1150</v>
      </c>
      <c r="P51" t="s">
        <v>1151</v>
      </c>
      <c r="Q51" t="s">
        <v>1152</v>
      </c>
      <c r="R51" t="s">
        <v>1153</v>
      </c>
      <c r="T51" t="s">
        <v>1154</v>
      </c>
      <c r="V51" t="s">
        <v>1155</v>
      </c>
      <c r="Z51" t="s">
        <v>1156</v>
      </c>
      <c r="AA51" t="s">
        <v>1157</v>
      </c>
      <c r="AC51" t="s">
        <v>1158</v>
      </c>
      <c r="AD51">
        <v>312.52009169999997</v>
      </c>
      <c r="AE51" t="s">
        <v>1159</v>
      </c>
      <c r="AF51" t="s">
        <v>1160</v>
      </c>
      <c r="AH51" t="s">
        <v>1161</v>
      </c>
      <c r="AI51" t="s">
        <v>1162</v>
      </c>
      <c r="AJ51" t="s">
        <v>1163</v>
      </c>
    </row>
    <row r="52" spans="1:36" x14ac:dyDescent="0.3">
      <c r="A52">
        <v>51</v>
      </c>
      <c r="B52" t="s">
        <v>1164</v>
      </c>
      <c r="C52" t="s">
        <v>1165</v>
      </c>
      <c r="D52" t="s">
        <v>1166</v>
      </c>
      <c r="F52" t="s">
        <v>1167</v>
      </c>
      <c r="H52" t="s">
        <v>1168</v>
      </c>
      <c r="I52">
        <v>90</v>
      </c>
      <c r="J52" t="s">
        <v>1169</v>
      </c>
      <c r="K52" t="s">
        <v>1170</v>
      </c>
      <c r="L52" t="s">
        <v>1171</v>
      </c>
      <c r="M52" t="s">
        <v>1172</v>
      </c>
      <c r="N52" t="s">
        <v>1173</v>
      </c>
      <c r="O52" t="s">
        <v>1174</v>
      </c>
      <c r="P52" t="s">
        <v>1175</v>
      </c>
      <c r="Q52" t="s">
        <v>1176</v>
      </c>
      <c r="R52" t="s">
        <v>1177</v>
      </c>
      <c r="T52" t="s">
        <v>1178</v>
      </c>
      <c r="U52" t="s">
        <v>1179</v>
      </c>
      <c r="V52" t="s">
        <v>1180</v>
      </c>
      <c r="W52" t="s">
        <v>1181</v>
      </c>
      <c r="X52" t="s">
        <v>1182</v>
      </c>
      <c r="Z52" t="s">
        <v>1183</v>
      </c>
      <c r="AA52" t="s">
        <v>1184</v>
      </c>
      <c r="AC52" t="s">
        <v>1185</v>
      </c>
      <c r="AD52">
        <v>451.0772053</v>
      </c>
      <c r="AE52" t="s">
        <v>1186</v>
      </c>
      <c r="AF52" t="s">
        <v>1187</v>
      </c>
      <c r="AH52" t="s">
        <v>1188</v>
      </c>
      <c r="AI52" t="s">
        <v>1189</v>
      </c>
      <c r="AJ52" t="s">
        <v>1190</v>
      </c>
    </row>
    <row r="53" spans="1:36" x14ac:dyDescent="0.3">
      <c r="A53">
        <v>52</v>
      </c>
      <c r="B53" t="s">
        <v>1191</v>
      </c>
      <c r="C53" t="s">
        <v>1192</v>
      </c>
      <c r="D53" t="s">
        <v>1193</v>
      </c>
      <c r="F53" t="s">
        <v>1194</v>
      </c>
      <c r="H53" t="s">
        <v>1195</v>
      </c>
      <c r="I53">
        <v>68</v>
      </c>
      <c r="J53" t="s">
        <v>1196</v>
      </c>
      <c r="K53" t="s">
        <v>1197</v>
      </c>
      <c r="L53" t="s">
        <v>1198</v>
      </c>
      <c r="N53" t="s">
        <v>1199</v>
      </c>
      <c r="O53" t="s">
        <v>1200</v>
      </c>
      <c r="P53" t="s">
        <v>1201</v>
      </c>
      <c r="Q53" t="s">
        <v>1202</v>
      </c>
      <c r="R53" t="s">
        <v>1203</v>
      </c>
      <c r="T53" t="s">
        <v>1204</v>
      </c>
      <c r="V53" t="s">
        <v>1205</v>
      </c>
      <c r="Z53" t="s">
        <v>1206</v>
      </c>
      <c r="AA53" t="s">
        <v>1207</v>
      </c>
      <c r="AC53" t="s">
        <v>1208</v>
      </c>
      <c r="AD53">
        <v>124.1926181</v>
      </c>
      <c r="AE53" t="s">
        <v>1209</v>
      </c>
      <c r="AF53" t="s">
        <v>1210</v>
      </c>
      <c r="AH53" t="s">
        <v>1211</v>
      </c>
      <c r="AI53" t="s">
        <v>1212</v>
      </c>
      <c r="AJ53" t="s">
        <v>1213</v>
      </c>
    </row>
    <row r="54" spans="1:36" x14ac:dyDescent="0.3">
      <c r="A54">
        <v>53</v>
      </c>
      <c r="B54" t="s">
        <v>1214</v>
      </c>
      <c r="C54" t="s">
        <v>1215</v>
      </c>
      <c r="D54" t="s">
        <v>1216</v>
      </c>
      <c r="F54" t="s">
        <v>1217</v>
      </c>
      <c r="H54" t="s">
        <v>1218</v>
      </c>
      <c r="I54">
        <v>25</v>
      </c>
      <c r="J54" t="s">
        <v>1219</v>
      </c>
      <c r="K54" t="s">
        <v>1220</v>
      </c>
      <c r="L54" t="s">
        <v>1221</v>
      </c>
      <c r="N54" t="s">
        <v>1222</v>
      </c>
      <c r="P54" t="s">
        <v>1223</v>
      </c>
      <c r="Q54" t="s">
        <v>1224</v>
      </c>
      <c r="R54" t="s">
        <v>1225</v>
      </c>
      <c r="T54" t="s">
        <v>1226</v>
      </c>
      <c r="V54" t="s">
        <v>1227</v>
      </c>
      <c r="Z54" t="s">
        <v>1228</v>
      </c>
      <c r="AA54" t="s">
        <v>1229</v>
      </c>
      <c r="AC54" t="s">
        <v>1230</v>
      </c>
      <c r="AD54">
        <v>68.403636899999995</v>
      </c>
      <c r="AE54" t="s">
        <v>1231</v>
      </c>
      <c r="AF54" t="s">
        <v>1232</v>
      </c>
      <c r="AH54" t="s">
        <v>1233</v>
      </c>
      <c r="AI54" t="s">
        <v>1234</v>
      </c>
      <c r="AJ54" t="s">
        <v>1235</v>
      </c>
    </row>
    <row r="55" spans="1:36" x14ac:dyDescent="0.3">
      <c r="A55">
        <v>54</v>
      </c>
      <c r="B55" t="s">
        <v>1236</v>
      </c>
      <c r="C55" t="s">
        <v>1237</v>
      </c>
      <c r="D55" t="s">
        <v>1238</v>
      </c>
      <c r="F55" t="s">
        <v>1239</v>
      </c>
      <c r="H55" t="s">
        <v>1240</v>
      </c>
      <c r="I55">
        <v>70</v>
      </c>
      <c r="J55" t="s">
        <v>1241</v>
      </c>
      <c r="K55" t="s">
        <v>1242</v>
      </c>
      <c r="L55" t="s">
        <v>1243</v>
      </c>
      <c r="N55" t="s">
        <v>1244</v>
      </c>
      <c r="P55" t="s">
        <v>1245</v>
      </c>
      <c r="Q55" t="s">
        <v>1246</v>
      </c>
      <c r="R55" t="s">
        <v>1247</v>
      </c>
      <c r="T55" t="s">
        <v>1248</v>
      </c>
      <c r="V55" t="s">
        <v>1249</v>
      </c>
      <c r="Z55" t="s">
        <v>1250</v>
      </c>
      <c r="AA55" t="s">
        <v>1251</v>
      </c>
      <c r="AC55" t="s">
        <v>1252</v>
      </c>
      <c r="AD55">
        <v>89.985703900000004</v>
      </c>
      <c r="AE55" t="s">
        <v>1253</v>
      </c>
      <c r="AF55" t="s">
        <v>1254</v>
      </c>
      <c r="AH55" t="s">
        <v>1255</v>
      </c>
      <c r="AI55" t="s">
        <v>1256</v>
      </c>
      <c r="AJ55" t="s">
        <v>1257</v>
      </c>
    </row>
    <row r="56" spans="1:36" x14ac:dyDescent="0.3">
      <c r="A56">
        <v>55</v>
      </c>
      <c r="B56" t="s">
        <v>1258</v>
      </c>
      <c r="C56" t="s">
        <v>1259</v>
      </c>
      <c r="D56" t="s">
        <v>1260</v>
      </c>
      <c r="E56" t="s">
        <v>1261</v>
      </c>
      <c r="F56" t="s">
        <v>1262</v>
      </c>
      <c r="H56" t="s">
        <v>1263</v>
      </c>
      <c r="I56">
        <v>90</v>
      </c>
      <c r="J56" t="s">
        <v>1264</v>
      </c>
      <c r="K56" t="s">
        <v>1265</v>
      </c>
      <c r="L56" t="s">
        <v>1266</v>
      </c>
      <c r="N56" t="s">
        <v>1267</v>
      </c>
      <c r="O56" t="s">
        <v>1268</v>
      </c>
      <c r="P56" t="s">
        <v>1269</v>
      </c>
      <c r="Q56" t="s">
        <v>1270</v>
      </c>
      <c r="R56" t="s">
        <v>1271</v>
      </c>
      <c r="T56" t="s">
        <v>1272</v>
      </c>
      <c r="V56" t="s">
        <v>1273</v>
      </c>
      <c r="W56" t="s">
        <v>1274</v>
      </c>
      <c r="X56" t="s">
        <v>1275</v>
      </c>
      <c r="Y56" t="s">
        <v>1276</v>
      </c>
      <c r="Z56" t="s">
        <v>1277</v>
      </c>
      <c r="AA56" t="s">
        <v>1278</v>
      </c>
      <c r="AC56" t="s">
        <v>1279</v>
      </c>
      <c r="AD56">
        <v>120.8138312</v>
      </c>
      <c r="AE56" t="s">
        <v>1280</v>
      </c>
      <c r="AF56" t="s">
        <v>1281</v>
      </c>
      <c r="AH56" t="s">
        <v>1282</v>
      </c>
      <c r="AI56" t="s">
        <v>1283</v>
      </c>
      <c r="AJ56" t="s">
        <v>1284</v>
      </c>
    </row>
    <row r="57" spans="1:36" x14ac:dyDescent="0.3">
      <c r="A57">
        <v>56</v>
      </c>
      <c r="B57" t="s">
        <v>1285</v>
      </c>
      <c r="C57" t="s">
        <v>1286</v>
      </c>
      <c r="D57" t="s">
        <v>1287</v>
      </c>
      <c r="F57" t="s">
        <v>1288</v>
      </c>
      <c r="H57" t="s">
        <v>1289</v>
      </c>
      <c r="I57">
        <v>90</v>
      </c>
      <c r="J57" t="s">
        <v>1290</v>
      </c>
      <c r="K57" t="s">
        <v>1291</v>
      </c>
      <c r="L57" t="s">
        <v>1292</v>
      </c>
      <c r="N57" t="s">
        <v>1293</v>
      </c>
      <c r="P57" t="s">
        <v>1294</v>
      </c>
      <c r="Q57" t="s">
        <v>1295</v>
      </c>
      <c r="R57" t="s">
        <v>1296</v>
      </c>
      <c r="T57" t="s">
        <v>1297</v>
      </c>
      <c r="V57" t="s">
        <v>1298</v>
      </c>
      <c r="Z57" t="s">
        <v>1299</v>
      </c>
      <c r="AA57" t="s">
        <v>1300</v>
      </c>
      <c r="AC57" t="s">
        <v>1301</v>
      </c>
      <c r="AD57">
        <v>55.7225173</v>
      </c>
      <c r="AE57" t="s">
        <v>1302</v>
      </c>
      <c r="AF57" t="s">
        <v>1303</v>
      </c>
      <c r="AH57" t="s">
        <v>1304</v>
      </c>
      <c r="AI57" t="s">
        <v>1305</v>
      </c>
      <c r="AJ57" t="s">
        <v>1306</v>
      </c>
    </row>
    <row r="58" spans="1:36" x14ac:dyDescent="0.3">
      <c r="A58">
        <v>57</v>
      </c>
      <c r="B58" t="s">
        <v>1307</v>
      </c>
      <c r="C58" t="s">
        <v>1308</v>
      </c>
      <c r="D58" t="s">
        <v>1309</v>
      </c>
      <c r="F58" t="s">
        <v>1310</v>
      </c>
      <c r="H58" t="s">
        <v>1311</v>
      </c>
      <c r="I58">
        <v>25</v>
      </c>
      <c r="J58" t="s">
        <v>1312</v>
      </c>
      <c r="K58" t="s">
        <v>1313</v>
      </c>
      <c r="L58" t="s">
        <v>1314</v>
      </c>
      <c r="N58" t="s">
        <v>1315</v>
      </c>
      <c r="P58" t="s">
        <v>1316</v>
      </c>
      <c r="Q58" t="s">
        <v>1317</v>
      </c>
      <c r="R58" t="s">
        <v>1318</v>
      </c>
      <c r="T58" t="s">
        <v>1319</v>
      </c>
      <c r="V58" t="s">
        <v>1320</v>
      </c>
      <c r="Z58" t="s">
        <v>1321</v>
      </c>
      <c r="AA58" t="s">
        <v>1322</v>
      </c>
      <c r="AC58" t="s">
        <v>1323</v>
      </c>
      <c r="AD58">
        <v>104.80209509999999</v>
      </c>
      <c r="AE58" t="s">
        <v>1324</v>
      </c>
      <c r="AF58" t="s">
        <v>1325</v>
      </c>
      <c r="AH58" t="s">
        <v>1326</v>
      </c>
      <c r="AI58" t="s">
        <v>1327</v>
      </c>
      <c r="AJ58" t="s">
        <v>1328</v>
      </c>
    </row>
    <row r="59" spans="1:36" x14ac:dyDescent="0.3">
      <c r="A59">
        <v>58</v>
      </c>
      <c r="B59" t="s">
        <v>1329</v>
      </c>
      <c r="C59" t="s">
        <v>1330</v>
      </c>
      <c r="D59" t="s">
        <v>1331</v>
      </c>
      <c r="F59" t="s">
        <v>1332</v>
      </c>
      <c r="H59" t="s">
        <v>1333</v>
      </c>
      <c r="I59">
        <v>70</v>
      </c>
      <c r="J59" t="s">
        <v>1334</v>
      </c>
      <c r="K59" t="s">
        <v>1335</v>
      </c>
      <c r="L59" t="s">
        <v>1336</v>
      </c>
      <c r="N59" t="s">
        <v>1337</v>
      </c>
      <c r="O59" t="s">
        <v>1338</v>
      </c>
      <c r="P59" t="s">
        <v>1339</v>
      </c>
      <c r="Q59" t="s">
        <v>1340</v>
      </c>
      <c r="R59" t="s">
        <v>1341</v>
      </c>
      <c r="T59" t="s">
        <v>1342</v>
      </c>
      <c r="V59" t="s">
        <v>1343</v>
      </c>
      <c r="Z59" t="s">
        <v>1344</v>
      </c>
      <c r="AA59" t="s">
        <v>1345</v>
      </c>
      <c r="AC59" t="s">
        <v>1346</v>
      </c>
      <c r="AD59">
        <v>107.08550220000001</v>
      </c>
      <c r="AE59" t="s">
        <v>1347</v>
      </c>
      <c r="AF59" t="s">
        <v>1348</v>
      </c>
      <c r="AH59" t="s">
        <v>1349</v>
      </c>
      <c r="AI59" t="s">
        <v>1350</v>
      </c>
      <c r="AJ59" t="s">
        <v>1351</v>
      </c>
    </row>
    <row r="60" spans="1:36" x14ac:dyDescent="0.3">
      <c r="A60">
        <v>59</v>
      </c>
      <c r="B60" t="s">
        <v>1352</v>
      </c>
      <c r="C60" t="s">
        <v>1353</v>
      </c>
      <c r="D60" t="s">
        <v>1354</v>
      </c>
      <c r="F60" t="s">
        <v>1355</v>
      </c>
      <c r="H60" t="s">
        <v>1356</v>
      </c>
      <c r="I60">
        <v>90</v>
      </c>
      <c r="J60" t="s">
        <v>1357</v>
      </c>
      <c r="K60" t="s">
        <v>1358</v>
      </c>
      <c r="L60" t="s">
        <v>1359</v>
      </c>
      <c r="N60" t="s">
        <v>1360</v>
      </c>
      <c r="P60" t="s">
        <v>1361</v>
      </c>
      <c r="Q60" t="s">
        <v>1362</v>
      </c>
      <c r="R60" t="s">
        <v>1363</v>
      </c>
      <c r="T60" t="s">
        <v>1364</v>
      </c>
      <c r="V60" t="s">
        <v>1365</v>
      </c>
      <c r="Z60" t="s">
        <v>1366</v>
      </c>
      <c r="AA60" t="s">
        <v>1367</v>
      </c>
      <c r="AC60" t="s">
        <v>1368</v>
      </c>
      <c r="AD60">
        <v>95.143126199999998</v>
      </c>
      <c r="AE60" t="s">
        <v>1369</v>
      </c>
      <c r="AF60" t="s">
        <v>1370</v>
      </c>
      <c r="AH60" t="s">
        <v>1371</v>
      </c>
      <c r="AI60" t="s">
        <v>1372</v>
      </c>
      <c r="AJ60" t="s">
        <v>1373</v>
      </c>
    </row>
    <row r="61" spans="1:36" x14ac:dyDescent="0.3">
      <c r="A61">
        <v>60</v>
      </c>
      <c r="B61" t="s">
        <v>1374</v>
      </c>
      <c r="C61" t="s">
        <v>1375</v>
      </c>
      <c r="D61" t="s">
        <v>1376</v>
      </c>
      <c r="F61" t="s">
        <v>1377</v>
      </c>
      <c r="H61" t="s">
        <v>1378</v>
      </c>
      <c r="I61">
        <v>68</v>
      </c>
      <c r="J61" t="s">
        <v>1379</v>
      </c>
      <c r="K61" t="s">
        <v>1380</v>
      </c>
      <c r="L61" t="s">
        <v>1381</v>
      </c>
      <c r="N61" t="s">
        <v>1382</v>
      </c>
      <c r="O61" t="s">
        <v>1383</v>
      </c>
      <c r="P61" t="s">
        <v>1384</v>
      </c>
      <c r="Q61" t="s">
        <v>1385</v>
      </c>
      <c r="R61" t="s">
        <v>1386</v>
      </c>
      <c r="T61" t="s">
        <v>1387</v>
      </c>
      <c r="V61" t="s">
        <v>1388</v>
      </c>
      <c r="Z61" t="s">
        <v>1389</v>
      </c>
      <c r="AA61" t="s">
        <v>1390</v>
      </c>
      <c r="AC61" t="s">
        <v>1391</v>
      </c>
      <c r="AD61">
        <v>64.789700800000006</v>
      </c>
      <c r="AE61" t="s">
        <v>1392</v>
      </c>
      <c r="AF61" t="s">
        <v>1393</v>
      </c>
      <c r="AH61" t="s">
        <v>1394</v>
      </c>
      <c r="AI61" t="s">
        <v>1395</v>
      </c>
      <c r="AJ61" t="s">
        <v>1396</v>
      </c>
    </row>
    <row r="62" spans="1:36" x14ac:dyDescent="0.3">
      <c r="A62">
        <v>61</v>
      </c>
      <c r="B62" t="s">
        <v>1397</v>
      </c>
      <c r="C62" t="s">
        <v>1398</v>
      </c>
      <c r="D62" t="s">
        <v>1399</v>
      </c>
      <c r="F62" t="s">
        <v>1400</v>
      </c>
      <c r="H62" t="s">
        <v>1401</v>
      </c>
      <c r="I62">
        <v>70</v>
      </c>
      <c r="J62" t="s">
        <v>1402</v>
      </c>
      <c r="K62" t="s">
        <v>1403</v>
      </c>
      <c r="L62" t="s">
        <v>1404</v>
      </c>
      <c r="N62" t="s">
        <v>1405</v>
      </c>
      <c r="P62" t="s">
        <v>1406</v>
      </c>
      <c r="Q62" t="s">
        <v>1407</v>
      </c>
      <c r="R62" t="s">
        <v>1408</v>
      </c>
      <c r="T62" t="s">
        <v>1409</v>
      </c>
      <c r="V62" t="s">
        <v>1410</v>
      </c>
      <c r="Z62" t="s">
        <v>1411</v>
      </c>
      <c r="AA62" t="s">
        <v>1412</v>
      </c>
      <c r="AC62" t="s">
        <v>1413</v>
      </c>
      <c r="AD62">
        <v>196.58919129999998</v>
      </c>
      <c r="AE62" t="s">
        <v>1414</v>
      </c>
      <c r="AF62" t="s">
        <v>1415</v>
      </c>
      <c r="AH62" t="s">
        <v>1416</v>
      </c>
      <c r="AI62" t="s">
        <v>1417</v>
      </c>
      <c r="AJ62" t="s">
        <v>1418</v>
      </c>
    </row>
    <row r="63" spans="1:36" x14ac:dyDescent="0.3">
      <c r="A63">
        <v>62</v>
      </c>
      <c r="B63" t="s">
        <v>1419</v>
      </c>
      <c r="C63" t="s">
        <v>1420</v>
      </c>
      <c r="D63" t="s">
        <v>1421</v>
      </c>
      <c r="F63" t="s">
        <v>1422</v>
      </c>
      <c r="H63" t="s">
        <v>1423</v>
      </c>
      <c r="I63">
        <v>90</v>
      </c>
      <c r="J63" t="s">
        <v>1424</v>
      </c>
      <c r="K63" t="s">
        <v>1425</v>
      </c>
      <c r="L63" t="s">
        <v>1426</v>
      </c>
      <c r="N63" t="s">
        <v>1427</v>
      </c>
      <c r="O63" t="s">
        <v>1428</v>
      </c>
      <c r="P63" t="s">
        <v>1429</v>
      </c>
      <c r="Q63" t="s">
        <v>1430</v>
      </c>
      <c r="R63" t="s">
        <v>1431</v>
      </c>
      <c r="T63" t="s">
        <v>1432</v>
      </c>
      <c r="V63" t="s">
        <v>1433</v>
      </c>
      <c r="Z63" t="s">
        <v>1434</v>
      </c>
      <c r="AA63" t="s">
        <v>1435</v>
      </c>
      <c r="AC63" t="s">
        <v>1436</v>
      </c>
      <c r="AD63">
        <v>151.88259189999999</v>
      </c>
      <c r="AE63" t="s">
        <v>1437</v>
      </c>
      <c r="AF63" t="s">
        <v>1438</v>
      </c>
      <c r="AH63" t="s">
        <v>1439</v>
      </c>
      <c r="AI63" t="s">
        <v>1440</v>
      </c>
      <c r="AJ63" t="s">
        <v>1441</v>
      </c>
    </row>
    <row r="64" spans="1:36" x14ac:dyDescent="0.3">
      <c r="A64">
        <v>63</v>
      </c>
      <c r="B64" t="s">
        <v>1442</v>
      </c>
      <c r="C64" t="s">
        <v>1443</v>
      </c>
      <c r="D64" t="s">
        <v>1444</v>
      </c>
      <c r="F64" t="s">
        <v>1445</v>
      </c>
      <c r="H64" t="s">
        <v>1446</v>
      </c>
      <c r="I64">
        <v>68</v>
      </c>
      <c r="J64" t="s">
        <v>1447</v>
      </c>
      <c r="K64" t="s">
        <v>1448</v>
      </c>
      <c r="L64" t="s">
        <v>1449</v>
      </c>
      <c r="N64" t="s">
        <v>1450</v>
      </c>
      <c r="P64" t="s">
        <v>1451</v>
      </c>
      <c r="Q64" t="s">
        <v>1452</v>
      </c>
      <c r="R64" t="s">
        <v>1453</v>
      </c>
      <c r="T64" t="s">
        <v>1454</v>
      </c>
      <c r="V64" t="s">
        <v>1455</v>
      </c>
      <c r="Z64" t="s">
        <v>1456</v>
      </c>
      <c r="AA64" t="s">
        <v>1457</v>
      </c>
      <c r="AC64" t="s">
        <v>1458</v>
      </c>
      <c r="AD64">
        <v>119.14067200000001</v>
      </c>
      <c r="AE64" t="s">
        <v>1459</v>
      </c>
      <c r="AF64" t="s">
        <v>1460</v>
      </c>
      <c r="AH64" t="s">
        <v>1461</v>
      </c>
      <c r="AI64" t="s">
        <v>1462</v>
      </c>
      <c r="AJ64" t="s">
        <v>1463</v>
      </c>
    </row>
    <row r="65" spans="1:36" x14ac:dyDescent="0.3">
      <c r="A65">
        <v>64</v>
      </c>
      <c r="B65" t="s">
        <v>1464</v>
      </c>
      <c r="C65" t="s">
        <v>1465</v>
      </c>
      <c r="D65" t="s">
        <v>1466</v>
      </c>
      <c r="F65" t="s">
        <v>1467</v>
      </c>
      <c r="H65" t="s">
        <v>1468</v>
      </c>
      <c r="I65">
        <v>90</v>
      </c>
      <c r="J65" t="s">
        <v>1469</v>
      </c>
      <c r="K65" t="s">
        <v>1470</v>
      </c>
      <c r="L65" t="s">
        <v>1471</v>
      </c>
      <c r="N65" t="s">
        <v>1472</v>
      </c>
      <c r="P65" t="s">
        <v>1473</v>
      </c>
      <c r="Q65" t="s">
        <v>1474</v>
      </c>
      <c r="R65" t="s">
        <v>1475</v>
      </c>
      <c r="T65" t="s">
        <v>1476</v>
      </c>
      <c r="V65" t="s">
        <v>1477</v>
      </c>
      <c r="Z65" t="s">
        <v>1478</v>
      </c>
      <c r="AA65" t="s">
        <v>1479</v>
      </c>
      <c r="AC65" t="s">
        <v>1480</v>
      </c>
      <c r="AD65">
        <v>89.143063500000011</v>
      </c>
      <c r="AE65" t="s">
        <v>1481</v>
      </c>
      <c r="AF65" t="s">
        <v>1482</v>
      </c>
      <c r="AH65" t="s">
        <v>1483</v>
      </c>
      <c r="AI65" t="s">
        <v>1484</v>
      </c>
      <c r="AJ65" t="s">
        <v>1485</v>
      </c>
    </row>
    <row r="66" spans="1:36" x14ac:dyDescent="0.3">
      <c r="A66">
        <v>65</v>
      </c>
      <c r="B66" t="s">
        <v>1486</v>
      </c>
      <c r="C66" t="s">
        <v>1487</v>
      </c>
      <c r="D66" t="s">
        <v>1488</v>
      </c>
      <c r="F66" t="s">
        <v>1489</v>
      </c>
      <c r="H66" t="s">
        <v>1490</v>
      </c>
      <c r="I66">
        <v>90</v>
      </c>
      <c r="J66" t="s">
        <v>1491</v>
      </c>
      <c r="K66" t="s">
        <v>1492</v>
      </c>
      <c r="L66" t="s">
        <v>1493</v>
      </c>
      <c r="N66" t="s">
        <v>1494</v>
      </c>
      <c r="P66" t="s">
        <v>1495</v>
      </c>
      <c r="Q66" t="s">
        <v>1496</v>
      </c>
      <c r="R66" t="s">
        <v>1497</v>
      </c>
      <c r="T66" t="s">
        <v>1498</v>
      </c>
      <c r="V66" t="s">
        <v>1499</v>
      </c>
      <c r="Z66" t="s">
        <v>1500</v>
      </c>
      <c r="AA66" t="s">
        <v>1501</v>
      </c>
      <c r="AC66" t="s">
        <v>1502</v>
      </c>
      <c r="AD66">
        <v>103.03922920000001</v>
      </c>
      <c r="AE66" t="s">
        <v>1503</v>
      </c>
      <c r="AF66" t="s">
        <v>1504</v>
      </c>
      <c r="AH66" t="s">
        <v>1505</v>
      </c>
      <c r="AI66" t="s">
        <v>1506</v>
      </c>
      <c r="AJ66" t="s">
        <v>1507</v>
      </c>
    </row>
    <row r="67" spans="1:36" x14ac:dyDescent="0.3">
      <c r="A67">
        <v>66</v>
      </c>
      <c r="B67" t="s">
        <v>1508</v>
      </c>
      <c r="C67" t="s">
        <v>1509</v>
      </c>
      <c r="D67" t="s">
        <v>1510</v>
      </c>
      <c r="F67" t="s">
        <v>1511</v>
      </c>
      <c r="H67" t="s">
        <v>1512</v>
      </c>
      <c r="I67">
        <v>90</v>
      </c>
      <c r="J67" t="s">
        <v>1513</v>
      </c>
      <c r="K67" t="s">
        <v>1514</v>
      </c>
      <c r="L67" t="s">
        <v>1515</v>
      </c>
      <c r="N67" t="s">
        <v>1516</v>
      </c>
      <c r="P67" t="s">
        <v>1517</v>
      </c>
      <c r="Q67" t="s">
        <v>1518</v>
      </c>
      <c r="R67" t="s">
        <v>1519</v>
      </c>
      <c r="T67" t="s">
        <v>1520</v>
      </c>
      <c r="V67" t="s">
        <v>1521</v>
      </c>
      <c r="Z67" t="s">
        <v>1522</v>
      </c>
      <c r="AA67" t="s">
        <v>1523</v>
      </c>
      <c r="AC67" t="s">
        <v>1524</v>
      </c>
      <c r="AD67">
        <v>99.240238599999998</v>
      </c>
      <c r="AE67" t="s">
        <v>1525</v>
      </c>
      <c r="AF67" t="s">
        <v>1526</v>
      </c>
      <c r="AH67" t="s">
        <v>1527</v>
      </c>
      <c r="AI67" t="s">
        <v>1528</v>
      </c>
      <c r="AJ67" t="s">
        <v>1529</v>
      </c>
    </row>
    <row r="68" spans="1:36" x14ac:dyDescent="0.3">
      <c r="A68">
        <v>67</v>
      </c>
      <c r="B68" t="s">
        <v>1530</v>
      </c>
      <c r="C68" t="s">
        <v>1531</v>
      </c>
      <c r="D68" t="s">
        <v>1532</v>
      </c>
      <c r="F68" t="s">
        <v>1533</v>
      </c>
      <c r="H68" t="s">
        <v>1534</v>
      </c>
      <c r="I68">
        <v>90</v>
      </c>
      <c r="J68" t="s">
        <v>1535</v>
      </c>
      <c r="K68" t="s">
        <v>1536</v>
      </c>
      <c r="L68" t="s">
        <v>1537</v>
      </c>
      <c r="N68" t="s">
        <v>1538</v>
      </c>
      <c r="O68" t="s">
        <v>1539</v>
      </c>
      <c r="P68" t="s">
        <v>1540</v>
      </c>
      <c r="Q68" t="s">
        <v>1541</v>
      </c>
      <c r="R68" t="s">
        <v>1542</v>
      </c>
      <c r="T68" t="s">
        <v>1543</v>
      </c>
      <c r="V68" t="s">
        <v>1544</v>
      </c>
      <c r="Z68" t="s">
        <v>1545</v>
      </c>
      <c r="AA68" t="s">
        <v>1546</v>
      </c>
      <c r="AC68" t="s">
        <v>1547</v>
      </c>
      <c r="AD68">
        <v>107.5602883</v>
      </c>
      <c r="AE68" t="s">
        <v>1548</v>
      </c>
      <c r="AF68" t="s">
        <v>1549</v>
      </c>
      <c r="AH68" t="s">
        <v>1550</v>
      </c>
      <c r="AI68" t="s">
        <v>1551</v>
      </c>
      <c r="AJ68" t="s">
        <v>1552</v>
      </c>
    </row>
    <row r="69" spans="1:36" x14ac:dyDescent="0.3">
      <c r="A69">
        <v>68</v>
      </c>
      <c r="B69" t="s">
        <v>1553</v>
      </c>
      <c r="C69" t="s">
        <v>1554</v>
      </c>
      <c r="D69" t="s">
        <v>1555</v>
      </c>
      <c r="F69" t="s">
        <v>1556</v>
      </c>
      <c r="H69" t="s">
        <v>1557</v>
      </c>
      <c r="I69">
        <v>25</v>
      </c>
      <c r="J69" t="s">
        <v>1558</v>
      </c>
      <c r="K69" t="s">
        <v>1559</v>
      </c>
      <c r="L69" t="s">
        <v>1560</v>
      </c>
      <c r="N69" t="s">
        <v>1561</v>
      </c>
      <c r="O69" t="s">
        <v>1562</v>
      </c>
      <c r="P69" t="s">
        <v>1563</v>
      </c>
      <c r="Q69" t="s">
        <v>1564</v>
      </c>
      <c r="R69" t="s">
        <v>1565</v>
      </c>
      <c r="T69" t="s">
        <v>1566</v>
      </c>
      <c r="V69" t="s">
        <v>1567</v>
      </c>
      <c r="W69" t="s">
        <v>1568</v>
      </c>
      <c r="X69" t="s">
        <v>1569</v>
      </c>
      <c r="Y69" t="s">
        <v>1570</v>
      </c>
      <c r="Z69" t="s">
        <v>1571</v>
      </c>
      <c r="AA69" t="s">
        <v>1572</v>
      </c>
      <c r="AC69" t="s">
        <v>1573</v>
      </c>
      <c r="AD69">
        <v>128.94853160000002</v>
      </c>
      <c r="AE69" t="s">
        <v>1574</v>
      </c>
      <c r="AF69" t="s">
        <v>1575</v>
      </c>
      <c r="AH69" t="s">
        <v>1576</v>
      </c>
      <c r="AI69" t="s">
        <v>1577</v>
      </c>
      <c r="AJ69" t="s">
        <v>1578</v>
      </c>
    </row>
    <row r="70" spans="1:36" x14ac:dyDescent="0.3">
      <c r="A70">
        <v>69</v>
      </c>
      <c r="B70" t="s">
        <v>1579</v>
      </c>
      <c r="C70" t="s">
        <v>1580</v>
      </c>
      <c r="D70" t="s">
        <v>1581</v>
      </c>
      <c r="F70" t="s">
        <v>1582</v>
      </c>
      <c r="H70" t="s">
        <v>1583</v>
      </c>
      <c r="I70">
        <v>25</v>
      </c>
      <c r="J70" t="s">
        <v>1584</v>
      </c>
      <c r="K70" t="s">
        <v>1585</v>
      </c>
      <c r="L70" t="s">
        <v>1586</v>
      </c>
      <c r="N70" t="s">
        <v>1587</v>
      </c>
      <c r="P70" t="s">
        <v>1588</v>
      </c>
      <c r="Q70" t="s">
        <v>1589</v>
      </c>
      <c r="R70" t="s">
        <v>1590</v>
      </c>
      <c r="T70" t="s">
        <v>1591</v>
      </c>
      <c r="V70" t="s">
        <v>1592</v>
      </c>
      <c r="Z70" t="s">
        <v>1593</v>
      </c>
      <c r="AA70" t="s">
        <v>1594</v>
      </c>
      <c r="AC70" t="s">
        <v>1595</v>
      </c>
      <c r="AD70">
        <v>93.242160200000001</v>
      </c>
      <c r="AE70" t="s">
        <v>1596</v>
      </c>
      <c r="AF70" t="s">
        <v>1597</v>
      </c>
      <c r="AH70" t="s">
        <v>1598</v>
      </c>
      <c r="AI70" t="s">
        <v>1599</v>
      </c>
      <c r="AJ70" t="s">
        <v>1600</v>
      </c>
    </row>
    <row r="71" spans="1:36" x14ac:dyDescent="0.3">
      <c r="A71">
        <v>70</v>
      </c>
      <c r="B71" t="s">
        <v>1601</v>
      </c>
      <c r="C71" t="s">
        <v>1602</v>
      </c>
      <c r="D71" t="s">
        <v>1603</v>
      </c>
      <c r="F71" t="s">
        <v>1604</v>
      </c>
      <c r="H71" t="s">
        <v>1605</v>
      </c>
      <c r="I71">
        <v>25</v>
      </c>
      <c r="J71" t="s">
        <v>1606</v>
      </c>
      <c r="K71" t="s">
        <v>1607</v>
      </c>
      <c r="L71" t="s">
        <v>1608</v>
      </c>
      <c r="N71" t="s">
        <v>1609</v>
      </c>
      <c r="O71" t="s">
        <v>1610</v>
      </c>
      <c r="P71" t="s">
        <v>1611</v>
      </c>
      <c r="Q71" t="s">
        <v>1612</v>
      </c>
      <c r="R71" t="s">
        <v>1613</v>
      </c>
      <c r="T71" t="s">
        <v>1614</v>
      </c>
      <c r="V71" t="s">
        <v>1615</v>
      </c>
      <c r="W71" t="s">
        <v>1616</v>
      </c>
      <c r="X71" t="s">
        <v>1617</v>
      </c>
      <c r="Z71" t="s">
        <v>1618</v>
      </c>
      <c r="AA71" t="s">
        <v>1619</v>
      </c>
      <c r="AC71" t="s">
        <v>1620</v>
      </c>
      <c r="AD71">
        <v>227.5801199</v>
      </c>
      <c r="AE71" t="s">
        <v>1621</v>
      </c>
      <c r="AF71" t="s">
        <v>1622</v>
      </c>
      <c r="AH71" t="s">
        <v>1623</v>
      </c>
      <c r="AI71" t="s">
        <v>1624</v>
      </c>
      <c r="AJ71" t="s">
        <v>1625</v>
      </c>
    </row>
    <row r="72" spans="1:36" x14ac:dyDescent="0.3">
      <c r="A72">
        <v>71</v>
      </c>
      <c r="B72" t="s">
        <v>1626</v>
      </c>
      <c r="C72" t="s">
        <v>1627</v>
      </c>
      <c r="D72" t="s">
        <v>1628</v>
      </c>
      <c r="F72" t="s">
        <v>1629</v>
      </c>
      <c r="H72" t="s">
        <v>1630</v>
      </c>
      <c r="I72">
        <v>25</v>
      </c>
      <c r="J72" t="s">
        <v>1631</v>
      </c>
      <c r="K72" t="s">
        <v>1632</v>
      </c>
      <c r="L72" t="s">
        <v>1633</v>
      </c>
      <c r="N72" t="s">
        <v>1634</v>
      </c>
      <c r="P72" t="s">
        <v>1635</v>
      </c>
      <c r="Q72" t="s">
        <v>1636</v>
      </c>
      <c r="R72" t="s">
        <v>1637</v>
      </c>
      <c r="T72" t="s">
        <v>1638</v>
      </c>
      <c r="V72" t="s">
        <v>1639</v>
      </c>
      <c r="Z72" t="s">
        <v>1640</v>
      </c>
      <c r="AA72" t="s">
        <v>1641</v>
      </c>
      <c r="AC72" t="s">
        <v>1642</v>
      </c>
      <c r="AD72">
        <v>138.48949680000001</v>
      </c>
      <c r="AE72" t="s">
        <v>1643</v>
      </c>
      <c r="AF72" t="s">
        <v>1644</v>
      </c>
      <c r="AH72" t="s">
        <v>1645</v>
      </c>
      <c r="AI72" t="s">
        <v>1646</v>
      </c>
      <c r="AJ72" t="s">
        <v>1647</v>
      </c>
    </row>
    <row r="73" spans="1:36" x14ac:dyDescent="0.3">
      <c r="A73">
        <v>72</v>
      </c>
      <c r="B73" t="s">
        <v>1648</v>
      </c>
      <c r="C73" t="s">
        <v>1649</v>
      </c>
      <c r="D73" t="s">
        <v>1650</v>
      </c>
      <c r="F73" t="s">
        <v>4</v>
      </c>
      <c r="G73" t="s">
        <v>1651</v>
      </c>
      <c r="H73" t="s">
        <v>1652</v>
      </c>
      <c r="I73">
        <v>25</v>
      </c>
      <c r="J73" t="s">
        <v>1653</v>
      </c>
      <c r="K73" t="s">
        <v>1654</v>
      </c>
      <c r="L73" t="s">
        <v>1655</v>
      </c>
      <c r="N73" t="s">
        <v>1656</v>
      </c>
      <c r="O73" t="s">
        <v>1657</v>
      </c>
      <c r="P73" t="s">
        <v>1658</v>
      </c>
      <c r="Q73" t="s">
        <v>1659</v>
      </c>
      <c r="R73" t="s">
        <v>1660</v>
      </c>
      <c r="T73" t="s">
        <v>1661</v>
      </c>
      <c r="V73" t="s">
        <v>1662</v>
      </c>
      <c r="Z73" t="s">
        <v>1663</v>
      </c>
      <c r="AA73" t="s">
        <v>1664</v>
      </c>
      <c r="AC73" t="s">
        <v>1665</v>
      </c>
      <c r="AD73">
        <v>228.29671050000002</v>
      </c>
      <c r="AE73" t="s">
        <v>1666</v>
      </c>
      <c r="AF73" t="s">
        <v>1667</v>
      </c>
      <c r="AH73" t="s">
        <v>1668</v>
      </c>
      <c r="AI73" t="s">
        <v>1669</v>
      </c>
      <c r="AJ73" t="s">
        <v>1670</v>
      </c>
    </row>
    <row r="74" spans="1:36" x14ac:dyDescent="0.3">
      <c r="A74">
        <v>73</v>
      </c>
      <c r="B74" t="s">
        <v>1671</v>
      </c>
      <c r="C74" t="s">
        <v>1672</v>
      </c>
      <c r="D74" t="s">
        <v>1673</v>
      </c>
      <c r="F74" t="s">
        <v>1674</v>
      </c>
      <c r="G74" t="s">
        <v>1675</v>
      </c>
      <c r="H74" t="s">
        <v>1676</v>
      </c>
      <c r="I74">
        <v>90</v>
      </c>
      <c r="J74" t="s">
        <v>1677</v>
      </c>
      <c r="K74" t="s">
        <v>1678</v>
      </c>
      <c r="L74" t="s">
        <v>1679</v>
      </c>
      <c r="N74" t="s">
        <v>1680</v>
      </c>
      <c r="O74" t="s">
        <v>1681</v>
      </c>
      <c r="P74" t="s">
        <v>1682</v>
      </c>
      <c r="Q74" t="s">
        <v>1683</v>
      </c>
      <c r="R74" t="s">
        <v>1684</v>
      </c>
      <c r="T74" t="s">
        <v>1685</v>
      </c>
      <c r="V74" t="s">
        <v>1686</v>
      </c>
      <c r="W74" t="s">
        <v>1687</v>
      </c>
      <c r="X74" t="s">
        <v>1688</v>
      </c>
      <c r="Z74" t="s">
        <v>1689</v>
      </c>
      <c r="AA74" t="s">
        <v>1690</v>
      </c>
      <c r="AC74" t="s">
        <v>1691</v>
      </c>
      <c r="AD74">
        <v>176.79976640000001</v>
      </c>
      <c r="AE74" t="s">
        <v>1692</v>
      </c>
      <c r="AF74" t="s">
        <v>1693</v>
      </c>
      <c r="AH74" t="s">
        <v>1694</v>
      </c>
      <c r="AI74" t="s">
        <v>1695</v>
      </c>
      <c r="AJ74" t="s">
        <v>1696</v>
      </c>
    </row>
    <row r="75" spans="1:36" x14ac:dyDescent="0.3">
      <c r="A75">
        <v>74</v>
      </c>
      <c r="B75" t="s">
        <v>1697</v>
      </c>
      <c r="C75" t="s">
        <v>1698</v>
      </c>
      <c r="D75" t="s">
        <v>1699</v>
      </c>
      <c r="F75" t="s">
        <v>1700</v>
      </c>
      <c r="H75" t="s">
        <v>1701</v>
      </c>
      <c r="J75" t="s">
        <v>1702</v>
      </c>
      <c r="K75" t="s">
        <v>1703</v>
      </c>
      <c r="L75" t="s">
        <v>1704</v>
      </c>
      <c r="N75" t="s">
        <v>1705</v>
      </c>
      <c r="O75" t="s">
        <v>1706</v>
      </c>
      <c r="P75" t="s">
        <v>1707</v>
      </c>
      <c r="Q75" t="s">
        <v>1708</v>
      </c>
      <c r="R75" t="s">
        <v>1709</v>
      </c>
      <c r="T75" t="s">
        <v>1710</v>
      </c>
      <c r="V75" t="s">
        <v>1711</v>
      </c>
      <c r="W75" t="s">
        <v>1712</v>
      </c>
      <c r="X75" t="s">
        <v>1713</v>
      </c>
      <c r="Z75" t="s">
        <v>1714</v>
      </c>
      <c r="AA75" t="s">
        <v>1715</v>
      </c>
      <c r="AC75" t="s">
        <v>1716</v>
      </c>
      <c r="AD75">
        <v>235.21525689999999</v>
      </c>
      <c r="AE75" t="s">
        <v>1717</v>
      </c>
      <c r="AF75" t="s">
        <v>1718</v>
      </c>
      <c r="AH75" t="s">
        <v>1719</v>
      </c>
      <c r="AI75" t="s">
        <v>1720</v>
      </c>
      <c r="AJ75" t="s">
        <v>1721</v>
      </c>
    </row>
    <row r="76" spans="1:36" x14ac:dyDescent="0.3">
      <c r="A76">
        <v>75</v>
      </c>
      <c r="B76" t="s">
        <v>1722</v>
      </c>
      <c r="C76" t="s">
        <v>1723</v>
      </c>
      <c r="D76" t="s">
        <v>1724</v>
      </c>
      <c r="F76" t="s">
        <v>1725</v>
      </c>
      <c r="H76" t="s">
        <v>1726</v>
      </c>
      <c r="I76">
        <v>25</v>
      </c>
      <c r="J76" t="s">
        <v>1727</v>
      </c>
      <c r="K76" t="s">
        <v>1728</v>
      </c>
      <c r="L76" t="s">
        <v>1729</v>
      </c>
      <c r="N76" t="s">
        <v>1730</v>
      </c>
      <c r="O76" t="s">
        <v>1731</v>
      </c>
      <c r="P76" t="s">
        <v>1732</v>
      </c>
      <c r="Q76" t="s">
        <v>1733</v>
      </c>
      <c r="R76" t="s">
        <v>1734</v>
      </c>
      <c r="T76" t="s">
        <v>1735</v>
      </c>
      <c r="V76" t="s">
        <v>1736</v>
      </c>
      <c r="Z76" t="s">
        <v>1737</v>
      </c>
      <c r="AA76" t="s">
        <v>1738</v>
      </c>
      <c r="AC76" t="s">
        <v>1739</v>
      </c>
      <c r="AD76">
        <v>162.80876309999999</v>
      </c>
      <c r="AE76" t="s">
        <v>1740</v>
      </c>
      <c r="AF76" t="s">
        <v>1741</v>
      </c>
      <c r="AH76" t="s">
        <v>1742</v>
      </c>
      <c r="AI76" t="s">
        <v>1743</v>
      </c>
      <c r="AJ76" t="s">
        <v>1744</v>
      </c>
    </row>
    <row r="77" spans="1:36" x14ac:dyDescent="0.3">
      <c r="A77">
        <v>76</v>
      </c>
      <c r="B77" t="s">
        <v>1745</v>
      </c>
      <c r="C77" t="s">
        <v>1746</v>
      </c>
      <c r="D77" t="s">
        <v>1747</v>
      </c>
      <c r="F77" t="s">
        <v>1748</v>
      </c>
      <c r="H77" t="s">
        <v>1749</v>
      </c>
      <c r="I77">
        <v>25</v>
      </c>
      <c r="J77" t="s">
        <v>1750</v>
      </c>
      <c r="K77" t="s">
        <v>1751</v>
      </c>
      <c r="L77" t="s">
        <v>1752</v>
      </c>
      <c r="N77" t="s">
        <v>1753</v>
      </c>
      <c r="O77" t="s">
        <v>1754</v>
      </c>
      <c r="P77" t="s">
        <v>1755</v>
      </c>
      <c r="Q77" t="s">
        <v>1756</v>
      </c>
      <c r="R77" t="s">
        <v>1757</v>
      </c>
      <c r="T77" t="s">
        <v>1758</v>
      </c>
      <c r="V77" t="s">
        <v>1759</v>
      </c>
      <c r="Z77" t="s">
        <v>1760</v>
      </c>
      <c r="AA77" t="s">
        <v>1761</v>
      </c>
      <c r="AC77" t="s">
        <v>1762</v>
      </c>
      <c r="AD77">
        <v>187.4418005</v>
      </c>
      <c r="AE77" t="s">
        <v>1763</v>
      </c>
      <c r="AF77" t="s">
        <v>1764</v>
      </c>
      <c r="AH77" t="s">
        <v>1765</v>
      </c>
      <c r="AI77" t="s">
        <v>1766</v>
      </c>
      <c r="AJ77" t="s">
        <v>1767</v>
      </c>
    </row>
    <row r="78" spans="1:36" x14ac:dyDescent="0.3">
      <c r="A78">
        <v>77</v>
      </c>
      <c r="B78" t="s">
        <v>1768</v>
      </c>
      <c r="C78" t="s">
        <v>1769</v>
      </c>
      <c r="D78" t="s">
        <v>1770</v>
      </c>
      <c r="F78" t="s">
        <v>1771</v>
      </c>
      <c r="H78" t="s">
        <v>1772</v>
      </c>
      <c r="I78">
        <v>25</v>
      </c>
      <c r="J78" t="s">
        <v>1773</v>
      </c>
      <c r="K78" t="s">
        <v>1774</v>
      </c>
      <c r="L78" t="s">
        <v>1775</v>
      </c>
      <c r="N78" t="s">
        <v>1776</v>
      </c>
      <c r="O78" t="s">
        <v>1777</v>
      </c>
      <c r="P78" t="s">
        <v>1778</v>
      </c>
      <c r="Q78" t="s">
        <v>1779</v>
      </c>
      <c r="R78" t="s">
        <v>1780</v>
      </c>
      <c r="T78" t="s">
        <v>1781</v>
      </c>
      <c r="V78" t="s">
        <v>1782</v>
      </c>
      <c r="Z78" t="s">
        <v>1783</v>
      </c>
      <c r="AA78" t="s">
        <v>1784</v>
      </c>
      <c r="AC78" t="s">
        <v>1785</v>
      </c>
      <c r="AD78">
        <v>148.1115542</v>
      </c>
      <c r="AE78" t="s">
        <v>1786</v>
      </c>
      <c r="AF78" t="s">
        <v>1787</v>
      </c>
      <c r="AH78" t="s">
        <v>1788</v>
      </c>
      <c r="AI78" t="s">
        <v>1789</v>
      </c>
      <c r="AJ78" t="s">
        <v>1790</v>
      </c>
    </row>
    <row r="79" spans="1:36" x14ac:dyDescent="0.3">
      <c r="A79">
        <v>78</v>
      </c>
      <c r="B79" t="s">
        <v>1791</v>
      </c>
      <c r="C79" t="s">
        <v>1792</v>
      </c>
      <c r="D79" t="s">
        <v>1793</v>
      </c>
      <c r="F79" t="s">
        <v>1794</v>
      </c>
      <c r="H79" t="s">
        <v>1795</v>
      </c>
      <c r="I79">
        <v>25</v>
      </c>
      <c r="J79" t="s">
        <v>1796</v>
      </c>
      <c r="K79" t="s">
        <v>1797</v>
      </c>
      <c r="L79" t="s">
        <v>1798</v>
      </c>
      <c r="N79" t="s">
        <v>1799</v>
      </c>
      <c r="O79" t="s">
        <v>1800</v>
      </c>
      <c r="P79" t="s">
        <v>1801</v>
      </c>
      <c r="Q79" t="s">
        <v>1802</v>
      </c>
      <c r="R79" t="s">
        <v>1803</v>
      </c>
      <c r="T79" t="s">
        <v>1804</v>
      </c>
      <c r="V79" t="s">
        <v>1805</v>
      </c>
      <c r="W79" t="s">
        <v>1806</v>
      </c>
      <c r="X79" t="s">
        <v>1807</v>
      </c>
      <c r="Z79" t="s">
        <v>1808</v>
      </c>
      <c r="AA79" t="s">
        <v>1809</v>
      </c>
      <c r="AC79" t="s">
        <v>1810</v>
      </c>
      <c r="AD79">
        <v>272.9703179</v>
      </c>
      <c r="AE79" t="s">
        <v>1811</v>
      </c>
      <c r="AF79" t="s">
        <v>1812</v>
      </c>
      <c r="AH79" t="s">
        <v>1813</v>
      </c>
      <c r="AI79" t="s">
        <v>1814</v>
      </c>
      <c r="AJ79" t="s">
        <v>1815</v>
      </c>
    </row>
    <row r="80" spans="1:36" x14ac:dyDescent="0.3">
      <c r="A80">
        <v>79</v>
      </c>
      <c r="B80" t="s">
        <v>1816</v>
      </c>
      <c r="C80" t="s">
        <v>1817</v>
      </c>
      <c r="D80" t="s">
        <v>1818</v>
      </c>
      <c r="F80" t="s">
        <v>1819</v>
      </c>
      <c r="H80" t="s">
        <v>1820</v>
      </c>
      <c r="I80">
        <v>25</v>
      </c>
      <c r="J80" t="s">
        <v>1821</v>
      </c>
      <c r="K80" t="s">
        <v>1822</v>
      </c>
      <c r="L80" t="s">
        <v>1823</v>
      </c>
      <c r="N80" t="s">
        <v>1824</v>
      </c>
      <c r="P80" t="s">
        <v>1825</v>
      </c>
      <c r="Q80" t="s">
        <v>1826</v>
      </c>
      <c r="R80" t="s">
        <v>1827</v>
      </c>
      <c r="T80" t="s">
        <v>1828</v>
      </c>
      <c r="V80" t="s">
        <v>1829</v>
      </c>
      <c r="Z80" t="s">
        <v>1830</v>
      </c>
      <c r="AA80" t="s">
        <v>1831</v>
      </c>
      <c r="AC80" t="s">
        <v>1832</v>
      </c>
      <c r="AD80">
        <v>175.9056199</v>
      </c>
      <c r="AE80" t="s">
        <v>1833</v>
      </c>
      <c r="AF80" t="s">
        <v>1834</v>
      </c>
      <c r="AH80" t="s">
        <v>1835</v>
      </c>
      <c r="AI80" t="s">
        <v>1836</v>
      </c>
      <c r="AJ80" t="s">
        <v>1837</v>
      </c>
    </row>
    <row r="81" spans="1:36" x14ac:dyDescent="0.3">
      <c r="A81">
        <v>80</v>
      </c>
      <c r="B81" t="s">
        <v>1838</v>
      </c>
      <c r="C81" t="s">
        <v>1839</v>
      </c>
      <c r="D81" t="s">
        <v>1840</v>
      </c>
      <c r="F81" t="s">
        <v>1841</v>
      </c>
      <c r="H81" t="s">
        <v>1842</v>
      </c>
      <c r="I81">
        <v>25</v>
      </c>
      <c r="J81" t="s">
        <v>1843</v>
      </c>
      <c r="K81" t="s">
        <v>1844</v>
      </c>
      <c r="L81" t="s">
        <v>1845</v>
      </c>
      <c r="N81" t="s">
        <v>1846</v>
      </c>
      <c r="O81" t="s">
        <v>1847</v>
      </c>
      <c r="P81" t="s">
        <v>1848</v>
      </c>
      <c r="Q81" t="s">
        <v>1849</v>
      </c>
      <c r="R81" t="s">
        <v>1850</v>
      </c>
      <c r="T81" t="s">
        <v>1851</v>
      </c>
      <c r="V81" t="s">
        <v>1852</v>
      </c>
      <c r="W81" t="s">
        <v>1853</v>
      </c>
      <c r="X81" t="s">
        <v>1854</v>
      </c>
      <c r="Z81" t="s">
        <v>1855</v>
      </c>
      <c r="AA81" t="s">
        <v>1856</v>
      </c>
      <c r="AC81" t="s">
        <v>1857</v>
      </c>
      <c r="AD81">
        <v>462.52883810000003</v>
      </c>
      <c r="AE81" t="s">
        <v>1858</v>
      </c>
      <c r="AF81" t="s">
        <v>1859</v>
      </c>
      <c r="AH81" t="s">
        <v>1860</v>
      </c>
      <c r="AI81" t="s">
        <v>1861</v>
      </c>
      <c r="AJ81" t="s">
        <v>1862</v>
      </c>
    </row>
    <row r="82" spans="1:36" x14ac:dyDescent="0.3">
      <c r="A82">
        <v>81</v>
      </c>
      <c r="B82" t="s">
        <v>1863</v>
      </c>
      <c r="C82" t="s">
        <v>1864</v>
      </c>
      <c r="D82" t="s">
        <v>1865</v>
      </c>
      <c r="F82" t="s">
        <v>1866</v>
      </c>
      <c r="H82" t="s">
        <v>1867</v>
      </c>
      <c r="I82">
        <v>25</v>
      </c>
      <c r="J82" t="s">
        <v>1868</v>
      </c>
      <c r="K82" t="s">
        <v>1869</v>
      </c>
      <c r="L82" t="s">
        <v>1870</v>
      </c>
      <c r="N82" t="s">
        <v>1871</v>
      </c>
      <c r="O82" t="s">
        <v>1872</v>
      </c>
      <c r="P82" t="s">
        <v>1873</v>
      </c>
      <c r="Q82" t="s">
        <v>1874</v>
      </c>
      <c r="R82" t="s">
        <v>1875</v>
      </c>
      <c r="T82" t="s">
        <v>1876</v>
      </c>
      <c r="V82" t="s">
        <v>1877</v>
      </c>
      <c r="W82" t="s">
        <v>1878</v>
      </c>
      <c r="X82" t="s">
        <v>1879</v>
      </c>
      <c r="Z82" t="s">
        <v>1880</v>
      </c>
      <c r="AA82" t="s">
        <v>1881</v>
      </c>
      <c r="AC82" t="s">
        <v>1882</v>
      </c>
      <c r="AD82">
        <v>161.61167520000001</v>
      </c>
      <c r="AE82" t="s">
        <v>1883</v>
      </c>
      <c r="AF82" t="s">
        <v>1884</v>
      </c>
      <c r="AH82" t="s">
        <v>1885</v>
      </c>
      <c r="AI82" t="s">
        <v>1886</v>
      </c>
      <c r="AJ82" t="s">
        <v>1887</v>
      </c>
    </row>
    <row r="83" spans="1:36" x14ac:dyDescent="0.3">
      <c r="A83">
        <v>82</v>
      </c>
      <c r="B83" t="s">
        <v>1888</v>
      </c>
      <c r="C83" t="s">
        <v>1889</v>
      </c>
      <c r="D83" t="s">
        <v>1890</v>
      </c>
      <c r="F83" t="s">
        <v>1891</v>
      </c>
      <c r="H83" t="s">
        <v>1892</v>
      </c>
      <c r="I83">
        <v>25</v>
      </c>
      <c r="J83" t="s">
        <v>1893</v>
      </c>
      <c r="K83" t="s">
        <v>1894</v>
      </c>
      <c r="L83" t="s">
        <v>1895</v>
      </c>
      <c r="N83" t="s">
        <v>1896</v>
      </c>
      <c r="O83" t="s">
        <v>1897</v>
      </c>
      <c r="P83" t="s">
        <v>1898</v>
      </c>
      <c r="Q83" t="s">
        <v>1899</v>
      </c>
      <c r="R83" t="s">
        <v>1900</v>
      </c>
      <c r="T83" t="s">
        <v>1901</v>
      </c>
      <c r="V83" t="s">
        <v>1902</v>
      </c>
      <c r="W83" t="s">
        <v>1903</v>
      </c>
      <c r="X83" t="s">
        <v>1904</v>
      </c>
      <c r="Z83" t="s">
        <v>1905</v>
      </c>
      <c r="AA83" t="s">
        <v>1906</v>
      </c>
      <c r="AC83" t="s">
        <v>1907</v>
      </c>
      <c r="AD83">
        <v>177.99801500000001</v>
      </c>
      <c r="AE83" t="s">
        <v>1908</v>
      </c>
      <c r="AF83" t="s">
        <v>1909</v>
      </c>
      <c r="AH83" t="s">
        <v>1910</v>
      </c>
      <c r="AI83" t="s">
        <v>1911</v>
      </c>
      <c r="AJ83" t="s">
        <v>1912</v>
      </c>
    </row>
    <row r="84" spans="1:36" x14ac:dyDescent="0.3">
      <c r="A84">
        <v>83</v>
      </c>
      <c r="B84" t="s">
        <v>1913</v>
      </c>
      <c r="C84" t="s">
        <v>1914</v>
      </c>
      <c r="D84" t="s">
        <v>1915</v>
      </c>
      <c r="F84" t="s">
        <v>1916</v>
      </c>
      <c r="H84" t="s">
        <v>1917</v>
      </c>
      <c r="I84">
        <v>25</v>
      </c>
      <c r="J84" t="s">
        <v>1918</v>
      </c>
      <c r="K84" t="s">
        <v>1919</v>
      </c>
      <c r="L84" t="s">
        <v>1920</v>
      </c>
      <c r="N84" t="s">
        <v>1921</v>
      </c>
      <c r="O84" t="s">
        <v>1922</v>
      </c>
      <c r="P84" t="s">
        <v>1923</v>
      </c>
      <c r="Q84" t="s">
        <v>1924</v>
      </c>
      <c r="R84" t="s">
        <v>1925</v>
      </c>
      <c r="T84" t="s">
        <v>1926</v>
      </c>
      <c r="V84" t="s">
        <v>1927</v>
      </c>
      <c r="W84" t="s">
        <v>1928</v>
      </c>
      <c r="X84" t="s">
        <v>1929</v>
      </c>
      <c r="Z84" t="s">
        <v>1930</v>
      </c>
      <c r="AA84" t="s">
        <v>1931</v>
      </c>
      <c r="AC84" t="s">
        <v>1932</v>
      </c>
      <c r="AD84">
        <v>183.20276509999999</v>
      </c>
      <c r="AE84" t="s">
        <v>1933</v>
      </c>
      <c r="AF84" t="s">
        <v>1934</v>
      </c>
      <c r="AH84" t="s">
        <v>1935</v>
      </c>
      <c r="AI84" t="s">
        <v>1936</v>
      </c>
      <c r="AJ84" t="s">
        <v>1937</v>
      </c>
    </row>
    <row r="85" spans="1:36" x14ac:dyDescent="0.3">
      <c r="A85">
        <v>84</v>
      </c>
      <c r="B85" t="s">
        <v>1938</v>
      </c>
      <c r="C85" t="s">
        <v>1939</v>
      </c>
      <c r="D85" t="s">
        <v>1940</v>
      </c>
      <c r="F85" t="s">
        <v>1941</v>
      </c>
      <c r="H85" t="s">
        <v>1942</v>
      </c>
      <c r="I85">
        <v>25</v>
      </c>
      <c r="J85" t="s">
        <v>1943</v>
      </c>
      <c r="K85" t="s">
        <v>1944</v>
      </c>
      <c r="L85" t="s">
        <v>1945</v>
      </c>
      <c r="N85" t="s">
        <v>1946</v>
      </c>
      <c r="O85" t="s">
        <v>1947</v>
      </c>
      <c r="P85" t="s">
        <v>1948</v>
      </c>
      <c r="Q85" t="s">
        <v>1949</v>
      </c>
      <c r="R85" t="s">
        <v>1950</v>
      </c>
      <c r="T85" t="s">
        <v>1951</v>
      </c>
      <c r="V85" t="s">
        <v>1952</v>
      </c>
      <c r="W85" t="s">
        <v>1953</v>
      </c>
      <c r="X85" t="s">
        <v>1954</v>
      </c>
      <c r="Y85" t="s">
        <v>1955</v>
      </c>
      <c r="Z85" t="s">
        <v>1956</v>
      </c>
      <c r="AA85" t="s">
        <v>1957</v>
      </c>
      <c r="AC85" t="s">
        <v>1958</v>
      </c>
      <c r="AD85">
        <v>220.72767880000001</v>
      </c>
      <c r="AE85" t="s">
        <v>1959</v>
      </c>
      <c r="AF85" t="s">
        <v>1960</v>
      </c>
      <c r="AH85" t="s">
        <v>1961</v>
      </c>
      <c r="AI85" t="s">
        <v>1962</v>
      </c>
      <c r="AJ85" t="s">
        <v>1963</v>
      </c>
    </row>
    <row r="86" spans="1:36" x14ac:dyDescent="0.3">
      <c r="A86">
        <v>85</v>
      </c>
      <c r="B86" t="s">
        <v>1964</v>
      </c>
      <c r="C86" t="s">
        <v>1965</v>
      </c>
      <c r="D86" t="s">
        <v>1966</v>
      </c>
      <c r="F86" t="s">
        <v>1967</v>
      </c>
      <c r="H86" t="s">
        <v>1968</v>
      </c>
      <c r="I86">
        <v>25</v>
      </c>
      <c r="J86" t="s">
        <v>1969</v>
      </c>
      <c r="K86" t="s">
        <v>1970</v>
      </c>
      <c r="L86" t="s">
        <v>1971</v>
      </c>
      <c r="N86" t="s">
        <v>1972</v>
      </c>
      <c r="P86" t="s">
        <v>1973</v>
      </c>
      <c r="Q86" t="s">
        <v>1974</v>
      </c>
      <c r="R86" t="s">
        <v>1975</v>
      </c>
      <c r="T86" t="s">
        <v>1976</v>
      </c>
      <c r="V86" t="s">
        <v>1977</v>
      </c>
      <c r="W86" t="s">
        <v>1978</v>
      </c>
      <c r="X86" t="s">
        <v>1979</v>
      </c>
      <c r="Z86" t="s">
        <v>1980</v>
      </c>
      <c r="AA86" t="s">
        <v>1981</v>
      </c>
      <c r="AC86" t="s">
        <v>1982</v>
      </c>
      <c r="AD86">
        <v>156.83358899999999</v>
      </c>
      <c r="AE86" t="s">
        <v>1983</v>
      </c>
      <c r="AF86" t="s">
        <v>1984</v>
      </c>
      <c r="AH86" t="s">
        <v>1985</v>
      </c>
      <c r="AI86" t="s">
        <v>1986</v>
      </c>
      <c r="AJ86" t="s">
        <v>1987</v>
      </c>
    </row>
    <row r="87" spans="1:36" x14ac:dyDescent="0.3">
      <c r="A87">
        <v>86</v>
      </c>
      <c r="B87" t="s">
        <v>1988</v>
      </c>
      <c r="C87" t="s">
        <v>1989</v>
      </c>
      <c r="D87" t="s">
        <v>1990</v>
      </c>
      <c r="F87" t="s">
        <v>1991</v>
      </c>
      <c r="H87" t="s">
        <v>1992</v>
      </c>
      <c r="I87">
        <v>25</v>
      </c>
      <c r="J87" t="s">
        <v>1993</v>
      </c>
      <c r="K87" t="s">
        <v>1994</v>
      </c>
      <c r="L87" t="s">
        <v>1995</v>
      </c>
      <c r="N87" t="s">
        <v>1996</v>
      </c>
      <c r="O87" t="s">
        <v>1997</v>
      </c>
      <c r="P87" t="s">
        <v>1998</v>
      </c>
      <c r="Q87" t="s">
        <v>1999</v>
      </c>
      <c r="R87" t="s">
        <v>2000</v>
      </c>
      <c r="S87" t="s">
        <v>2001</v>
      </c>
      <c r="T87" t="s">
        <v>2002</v>
      </c>
      <c r="V87" t="s">
        <v>2003</v>
      </c>
      <c r="Z87" t="s">
        <v>2004</v>
      </c>
      <c r="AA87" t="s">
        <v>2005</v>
      </c>
      <c r="AC87" t="s">
        <v>2006</v>
      </c>
      <c r="AD87">
        <v>216.27676269999998</v>
      </c>
      <c r="AE87" t="s">
        <v>2007</v>
      </c>
      <c r="AF87" t="s">
        <v>2008</v>
      </c>
      <c r="AH87" t="s">
        <v>2009</v>
      </c>
      <c r="AI87" t="s">
        <v>2010</v>
      </c>
      <c r="AJ87" t="s">
        <v>2011</v>
      </c>
    </row>
    <row r="88" spans="1:36" x14ac:dyDescent="0.3">
      <c r="A88">
        <v>87</v>
      </c>
      <c r="B88" t="s">
        <v>2012</v>
      </c>
      <c r="C88" t="s">
        <v>2013</v>
      </c>
      <c r="D88" t="s">
        <v>2014</v>
      </c>
      <c r="F88" t="s">
        <v>2015</v>
      </c>
      <c r="H88" t="s">
        <v>2016</v>
      </c>
      <c r="I88">
        <v>25</v>
      </c>
      <c r="J88" t="s">
        <v>2017</v>
      </c>
      <c r="K88" t="s">
        <v>2018</v>
      </c>
      <c r="L88" t="s">
        <v>2019</v>
      </c>
      <c r="N88" t="s">
        <v>2020</v>
      </c>
      <c r="O88" t="s">
        <v>2021</v>
      </c>
      <c r="P88" t="s">
        <v>2022</v>
      </c>
      <c r="Q88" t="s">
        <v>2023</v>
      </c>
      <c r="R88" t="s">
        <v>2024</v>
      </c>
      <c r="T88" t="s">
        <v>2025</v>
      </c>
      <c r="V88" t="s">
        <v>2026</v>
      </c>
      <c r="W88" t="s">
        <v>2027</v>
      </c>
      <c r="X88" t="s">
        <v>2028</v>
      </c>
      <c r="Y88" t="s">
        <v>2029</v>
      </c>
      <c r="Z88" t="s">
        <v>2030</v>
      </c>
      <c r="AA88" t="s">
        <v>2031</v>
      </c>
      <c r="AC88" t="s">
        <v>2032</v>
      </c>
      <c r="AD88">
        <v>1556.0641152000001</v>
      </c>
      <c r="AE88" t="s">
        <v>2033</v>
      </c>
      <c r="AF88" t="s">
        <v>2034</v>
      </c>
      <c r="AH88" t="s">
        <v>2035</v>
      </c>
      <c r="AI88" t="s">
        <v>2036</v>
      </c>
      <c r="AJ88" t="s">
        <v>2037</v>
      </c>
    </row>
    <row r="89" spans="1:36" x14ac:dyDescent="0.3">
      <c r="A89">
        <v>88</v>
      </c>
      <c r="B89" t="s">
        <v>2038</v>
      </c>
      <c r="C89" t="s">
        <v>2039</v>
      </c>
      <c r="D89" t="s">
        <v>2040</v>
      </c>
      <c r="F89" t="s">
        <v>2041</v>
      </c>
      <c r="H89" t="s">
        <v>2042</v>
      </c>
      <c r="I89">
        <v>25</v>
      </c>
      <c r="J89" t="s">
        <v>2043</v>
      </c>
      <c r="K89" t="s">
        <v>2044</v>
      </c>
      <c r="L89" t="s">
        <v>2045</v>
      </c>
      <c r="N89" t="s">
        <v>2046</v>
      </c>
      <c r="O89" t="s">
        <v>2047</v>
      </c>
      <c r="P89" t="s">
        <v>2048</v>
      </c>
      <c r="Q89" t="s">
        <v>2049</v>
      </c>
      <c r="R89" t="s">
        <v>2050</v>
      </c>
      <c r="T89" t="s">
        <v>2051</v>
      </c>
      <c r="V89" t="s">
        <v>2052</v>
      </c>
      <c r="Z89" t="s">
        <v>2053</v>
      </c>
      <c r="AA89" t="s">
        <v>2054</v>
      </c>
      <c r="AC89" t="s">
        <v>2055</v>
      </c>
      <c r="AD89">
        <v>84.554112500000002</v>
      </c>
      <c r="AE89" t="s">
        <v>2056</v>
      </c>
      <c r="AF89" t="s">
        <v>2057</v>
      </c>
      <c r="AH89" t="s">
        <v>2058</v>
      </c>
      <c r="AI89" t="s">
        <v>2059</v>
      </c>
      <c r="AJ89" t="s">
        <v>2060</v>
      </c>
    </row>
    <row r="90" spans="1:36" x14ac:dyDescent="0.3">
      <c r="A90">
        <v>89</v>
      </c>
      <c r="B90" t="s">
        <v>2061</v>
      </c>
      <c r="C90" t="s">
        <v>2062</v>
      </c>
      <c r="D90" t="s">
        <v>2063</v>
      </c>
      <c r="F90" t="s">
        <v>2064</v>
      </c>
      <c r="H90" t="s">
        <v>2065</v>
      </c>
      <c r="I90">
        <v>25</v>
      </c>
      <c r="J90" t="s">
        <v>2066</v>
      </c>
      <c r="K90" t="s">
        <v>2067</v>
      </c>
      <c r="L90" t="s">
        <v>2068</v>
      </c>
      <c r="M90" t="s">
        <v>2069</v>
      </c>
      <c r="N90" t="s">
        <v>2070</v>
      </c>
      <c r="O90" t="s">
        <v>2071</v>
      </c>
      <c r="P90" t="s">
        <v>2072</v>
      </c>
      <c r="Q90" t="s">
        <v>2073</v>
      </c>
      <c r="R90" t="s">
        <v>2074</v>
      </c>
      <c r="T90" t="s">
        <v>2075</v>
      </c>
      <c r="V90" t="s">
        <v>2076</v>
      </c>
      <c r="W90" t="s">
        <v>2077</v>
      </c>
      <c r="X90" t="s">
        <v>2078</v>
      </c>
      <c r="Y90" t="s">
        <v>2079</v>
      </c>
      <c r="Z90" t="s">
        <v>2080</v>
      </c>
      <c r="AA90" t="s">
        <v>2081</v>
      </c>
      <c r="AC90" t="s">
        <v>2082</v>
      </c>
      <c r="AD90">
        <v>167.4375919</v>
      </c>
      <c r="AE90" t="s">
        <v>2083</v>
      </c>
      <c r="AF90" t="s">
        <v>2084</v>
      </c>
      <c r="AH90" t="s">
        <v>2085</v>
      </c>
      <c r="AI90" t="s">
        <v>2086</v>
      </c>
      <c r="AJ90" t="s">
        <v>2087</v>
      </c>
    </row>
    <row r="91" spans="1:36" x14ac:dyDescent="0.3">
      <c r="A91">
        <v>90</v>
      </c>
      <c r="B91" t="s">
        <v>2088</v>
      </c>
      <c r="C91" t="s">
        <v>2089</v>
      </c>
      <c r="D91" t="s">
        <v>2090</v>
      </c>
      <c r="F91" t="s">
        <v>2091</v>
      </c>
      <c r="H91" t="s">
        <v>2092</v>
      </c>
      <c r="I91">
        <v>25</v>
      </c>
      <c r="J91" t="s">
        <v>2093</v>
      </c>
      <c r="K91" t="s">
        <v>2094</v>
      </c>
      <c r="L91" t="s">
        <v>2095</v>
      </c>
      <c r="N91" t="s">
        <v>2096</v>
      </c>
      <c r="P91" t="s">
        <v>2097</v>
      </c>
      <c r="Q91" t="s">
        <v>2098</v>
      </c>
      <c r="R91" t="s">
        <v>2099</v>
      </c>
      <c r="T91" t="s">
        <v>2100</v>
      </c>
      <c r="U91" t="s">
        <v>2101</v>
      </c>
      <c r="V91" t="s">
        <v>2102</v>
      </c>
      <c r="W91" t="s">
        <v>2103</v>
      </c>
      <c r="X91" t="s">
        <v>2104</v>
      </c>
      <c r="Z91" t="s">
        <v>2105</v>
      </c>
      <c r="AA91" t="s">
        <v>2106</v>
      </c>
      <c r="AC91" t="s">
        <v>2107</v>
      </c>
      <c r="AD91">
        <v>429.2365671</v>
      </c>
      <c r="AE91" t="s">
        <v>2108</v>
      </c>
      <c r="AF91" t="s">
        <v>2109</v>
      </c>
      <c r="AH91" t="s">
        <v>2110</v>
      </c>
      <c r="AI91" t="s">
        <v>2111</v>
      </c>
      <c r="AJ91" t="s">
        <v>2112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F0E4-15F4-46B3-8039-89BE8B1F2C43}">
  <dimension ref="A1:R7"/>
  <sheetViews>
    <sheetView topLeftCell="F7" zoomScale="85" zoomScaleNormal="85" workbookViewId="0">
      <selection activeCell="S34" sqref="S34:S35"/>
    </sheetView>
  </sheetViews>
  <sheetFormatPr baseColWidth="10" defaultRowHeight="14.4" x14ac:dyDescent="0.3"/>
  <cols>
    <col min="17" max="17" width="17.296875" customWidth="1"/>
  </cols>
  <sheetData>
    <row r="1" spans="1:18" x14ac:dyDescent="0.3">
      <c r="A1" t="s">
        <v>2116</v>
      </c>
      <c r="B1" s="3"/>
      <c r="C1" t="s">
        <v>2117</v>
      </c>
      <c r="D1" s="3"/>
      <c r="E1" t="s">
        <v>2118</v>
      </c>
      <c r="F1" s="3"/>
      <c r="G1" t="s">
        <v>2119</v>
      </c>
      <c r="H1" s="3"/>
      <c r="I1" t="s">
        <v>2120</v>
      </c>
      <c r="J1" s="3"/>
      <c r="K1" t="s">
        <v>2122</v>
      </c>
      <c r="L1" s="3"/>
      <c r="M1" t="s">
        <v>2123</v>
      </c>
      <c r="N1" s="3"/>
      <c r="O1" t="s">
        <v>2124</v>
      </c>
      <c r="P1" s="3"/>
      <c r="Q1" t="s">
        <v>2126</v>
      </c>
    </row>
    <row r="2" spans="1:18" x14ac:dyDescent="0.3">
      <c r="A2" t="s">
        <v>186</v>
      </c>
      <c r="B2" s="3">
        <f>COUNTIF(Tableau1[Quels est votre genre ?],Feuil1!A2)</f>
        <v>25</v>
      </c>
      <c r="C2" t="s">
        <v>424</v>
      </c>
      <c r="D2" s="3">
        <f>COUNTIF(Bibliotheque!C:C,Feuil1!C2)</f>
        <v>43</v>
      </c>
      <c r="E2" s="1" t="s">
        <v>42</v>
      </c>
      <c r="F2" s="3">
        <f>COUNTIF(Bibliotheque!D:D,Feuil1!E2)</f>
        <v>43</v>
      </c>
      <c r="G2" t="s">
        <v>43</v>
      </c>
      <c r="H2" s="3">
        <f>COUNTIF(Bibliotheque!F:F,Feuil1!G2)</f>
        <v>43</v>
      </c>
      <c r="I2">
        <v>25</v>
      </c>
      <c r="J2" s="3">
        <f>COUNTIF(Tableau1[Département],Feuil1!I2)</f>
        <v>52</v>
      </c>
      <c r="K2" t="s">
        <v>213</v>
      </c>
      <c r="L2" s="3">
        <f>COUNTIF(Bibliotheque!J:J,Feuil1!K2)</f>
        <v>4</v>
      </c>
      <c r="M2" t="s">
        <v>46</v>
      </c>
      <c r="N2" s="3">
        <f>COUNTIF(Tableau1[Une bibliothèque d''objets à Besançon vous intéresserait-elle ?],Feuil1!M2)</f>
        <v>51</v>
      </c>
      <c r="O2" t="s">
        <v>2125</v>
      </c>
      <c r="P2" s="3"/>
      <c r="Q2" t="s">
        <v>48</v>
      </c>
      <c r="R2">
        <f>COUNTIF(Bibliotheque!N:N,Feuil1!Q2)</f>
        <v>41</v>
      </c>
    </row>
    <row r="3" spans="1:18" x14ac:dyDescent="0.3">
      <c r="A3" t="s">
        <v>65</v>
      </c>
      <c r="B3" s="3">
        <f>COUNTIF(Tableau1[Quels est votre genre ?],Feuil1!A3)</f>
        <v>62</v>
      </c>
      <c r="C3" t="s">
        <v>114</v>
      </c>
      <c r="D3" s="3">
        <f>COUNTIF(Bibliotheque!C:C,Feuil1!C3)</f>
        <v>12</v>
      </c>
      <c r="E3" s="4" t="s">
        <v>425</v>
      </c>
      <c r="F3" s="3">
        <f>COUNTIF(Bibliotheque!D:D,Feuil1!E3)</f>
        <v>42</v>
      </c>
      <c r="G3" t="s">
        <v>67</v>
      </c>
      <c r="H3" s="3">
        <f>COUNTIF(Bibliotheque!F:F,Feuil1!G3)</f>
        <v>42</v>
      </c>
      <c r="I3">
        <v>90</v>
      </c>
      <c r="J3" s="3">
        <f>COUNTIF(Tableau1[Département],Feuil1!I3)</f>
        <v>24</v>
      </c>
      <c r="K3" t="s">
        <v>69</v>
      </c>
      <c r="L3" s="3">
        <f>COUNTIF(Bibliotheque!J:J,Feuil1!K3)</f>
        <v>14</v>
      </c>
      <c r="M3" t="s">
        <v>472</v>
      </c>
      <c r="N3" s="3">
        <f>COUNTIF(Tableau1[Une bibliothèque d''objets à Besançon vous intéresserait-elle ?],Feuil1!M3)</f>
        <v>19</v>
      </c>
      <c r="P3" s="3"/>
      <c r="Q3" t="s">
        <v>96</v>
      </c>
      <c r="R3">
        <f>COUNTIF(Bibliotheque!N:N,Feuil1!Q3)</f>
        <v>36</v>
      </c>
    </row>
    <row r="4" spans="1:18" x14ac:dyDescent="0.3">
      <c r="A4" t="s">
        <v>40</v>
      </c>
      <c r="B4" s="3">
        <f>COUNTIF(Tableau1[Quels est votre genre ?],Feuil1!A4)</f>
        <v>2</v>
      </c>
      <c r="C4" t="s">
        <v>41</v>
      </c>
      <c r="D4" s="3">
        <f>COUNTIF(Bibliotheque!C:C,Feuil1!C4)</f>
        <v>22</v>
      </c>
      <c r="E4" s="4" t="s">
        <v>259</v>
      </c>
      <c r="F4" s="3">
        <f>COUNTIF(Bibliotheque!D:D,Feuil1!E4)</f>
        <v>2</v>
      </c>
      <c r="G4" t="s">
        <v>4</v>
      </c>
      <c r="H4" s="3">
        <f>COUNTIF(Bibliotheque!F:F,Feuil1!G4)</f>
        <v>4</v>
      </c>
      <c r="I4">
        <v>68</v>
      </c>
      <c r="J4" s="3">
        <f>COUNTIF(Tableau1[Département],Feuil1!I4)</f>
        <v>5</v>
      </c>
      <c r="K4" t="s">
        <v>45</v>
      </c>
      <c r="L4" s="3">
        <f>COUNTIF(Bibliotheque!J:J,Feuil1!K4)</f>
        <v>50</v>
      </c>
      <c r="M4" t="s">
        <v>239</v>
      </c>
      <c r="N4" s="3">
        <f>COUNTIF(Tableau1[Une bibliothèque d''objets à Besançon vous intéresserait-elle ?],Feuil1!M4)</f>
        <v>19</v>
      </c>
      <c r="P4" s="3"/>
    </row>
    <row r="5" spans="1:18" x14ac:dyDescent="0.3">
      <c r="B5" s="3"/>
      <c r="C5" t="s">
        <v>90</v>
      </c>
      <c r="D5" s="3">
        <f>COUNTIF(Bibliotheque!C:C,Feuil1!C5)</f>
        <v>8</v>
      </c>
      <c r="E5" s="1" t="s">
        <v>1724</v>
      </c>
      <c r="F5" s="3">
        <f>COUNTIF(Bibliotheque!D:D,Feuil1!E5)</f>
        <v>1</v>
      </c>
      <c r="H5" s="3"/>
      <c r="I5">
        <v>67</v>
      </c>
      <c r="J5" s="3">
        <f>COUNTIF(Tableau1[Département],Feuil1!I5)</f>
        <v>1</v>
      </c>
      <c r="K5" s="2" t="s">
        <v>191</v>
      </c>
      <c r="L5" s="3">
        <f>COUNTIF(Bibliotheque!J:J,Feuil1!K5)</f>
        <v>8</v>
      </c>
      <c r="N5" s="3"/>
      <c r="P5" s="3"/>
    </row>
    <row r="6" spans="1:18" x14ac:dyDescent="0.3">
      <c r="B6" s="3"/>
      <c r="C6" t="s">
        <v>1071</v>
      </c>
      <c r="D6" s="3">
        <f>COUNTIF(Bibliotheque!C:C,Feuil1!C6)</f>
        <v>3</v>
      </c>
      <c r="F6" s="3"/>
      <c r="H6" s="3"/>
      <c r="J6" s="3"/>
      <c r="K6" t="s">
        <v>118</v>
      </c>
      <c r="L6" s="3">
        <f>COUNTIF(Bibliotheque!J:J,Feuil1!K6)</f>
        <v>13</v>
      </c>
      <c r="N6" s="3"/>
      <c r="P6" s="3"/>
    </row>
    <row r="7" spans="1:18" x14ac:dyDescent="0.3">
      <c r="B7" s="3"/>
      <c r="C7" t="s">
        <v>1000</v>
      </c>
      <c r="D7" s="3">
        <f>COUNTIF(Bibliotheque!C:C,Feuil1!C7)</f>
        <v>1</v>
      </c>
      <c r="F7" s="3"/>
      <c r="H7" s="3"/>
      <c r="J7" s="3"/>
      <c r="L7" s="3"/>
      <c r="N7" s="3"/>
      <c r="P7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72C8-596D-4309-8D12-B43C61683DB6}">
  <dimension ref="A1:A38"/>
  <sheetViews>
    <sheetView tabSelected="1" workbookViewId="0">
      <selection activeCell="E18" sqref="E18"/>
    </sheetView>
  </sheetViews>
  <sheetFormatPr baseColWidth="10" defaultRowHeight="14.4" x14ac:dyDescent="0.3"/>
  <sheetData>
    <row r="1" spans="1:1" x14ac:dyDescent="0.3">
      <c r="A1" t="s">
        <v>19</v>
      </c>
    </row>
    <row r="3" spans="1:1" x14ac:dyDescent="0.3">
      <c r="A3" t="s">
        <v>56</v>
      </c>
    </row>
    <row r="4" spans="1:1" x14ac:dyDescent="0.3">
      <c r="A4" t="s">
        <v>80</v>
      </c>
    </row>
    <row r="5" spans="1:1" x14ac:dyDescent="0.3">
      <c r="A5" t="s">
        <v>103</v>
      </c>
    </row>
    <row r="6" spans="1:1" x14ac:dyDescent="0.3">
      <c r="A6" t="s">
        <v>129</v>
      </c>
    </row>
    <row r="7" spans="1:1" x14ac:dyDescent="0.3">
      <c r="A7" t="s">
        <v>152</v>
      </c>
    </row>
    <row r="8" spans="1:1" x14ac:dyDescent="0.3">
      <c r="A8" t="s">
        <v>176</v>
      </c>
    </row>
    <row r="9" spans="1:1" x14ac:dyDescent="0.3">
      <c r="A9" t="s">
        <v>224</v>
      </c>
    </row>
    <row r="10" spans="1:1" x14ac:dyDescent="0.3">
      <c r="A10" t="s">
        <v>249</v>
      </c>
    </row>
    <row r="11" spans="1:1" x14ac:dyDescent="0.3">
      <c r="A11" t="s">
        <v>273</v>
      </c>
    </row>
    <row r="12" spans="1:1" x14ac:dyDescent="0.3">
      <c r="A12" t="s">
        <v>296</v>
      </c>
    </row>
    <row r="13" spans="1:1" x14ac:dyDescent="0.3">
      <c r="A13" t="s">
        <v>321</v>
      </c>
    </row>
    <row r="14" spans="1:1" x14ac:dyDescent="0.3">
      <c r="A14" t="s">
        <v>388</v>
      </c>
    </row>
    <row r="15" spans="1:1" x14ac:dyDescent="0.3">
      <c r="A15" t="s">
        <v>413</v>
      </c>
    </row>
    <row r="16" spans="1:1" x14ac:dyDescent="0.3">
      <c r="A16" t="s">
        <v>635</v>
      </c>
    </row>
    <row r="17" spans="1:1" x14ac:dyDescent="0.3">
      <c r="A17" t="s">
        <v>767</v>
      </c>
    </row>
    <row r="18" spans="1:1" x14ac:dyDescent="0.3">
      <c r="A18" t="s">
        <v>921</v>
      </c>
    </row>
    <row r="19" spans="1:1" x14ac:dyDescent="0.3">
      <c r="A19" t="s">
        <v>945</v>
      </c>
    </row>
    <row r="20" spans="1:1" x14ac:dyDescent="0.3">
      <c r="A20" t="s">
        <v>1014</v>
      </c>
    </row>
    <row r="21" spans="1:1" x14ac:dyDescent="0.3">
      <c r="A21" t="s">
        <v>1061</v>
      </c>
    </row>
    <row r="22" spans="1:1" x14ac:dyDescent="0.3">
      <c r="A22" t="s">
        <v>1086</v>
      </c>
    </row>
    <row r="23" spans="1:1" x14ac:dyDescent="0.3">
      <c r="A23" t="s">
        <v>1182</v>
      </c>
    </row>
    <row r="24" spans="1:1" x14ac:dyDescent="0.3">
      <c r="A24" t="s">
        <v>1275</v>
      </c>
    </row>
    <row r="25" spans="1:1" x14ac:dyDescent="0.3">
      <c r="A25" t="s">
        <v>1569</v>
      </c>
    </row>
    <row r="26" spans="1:1" x14ac:dyDescent="0.3">
      <c r="A26" t="s">
        <v>1617</v>
      </c>
    </row>
    <row r="27" spans="1:1" x14ac:dyDescent="0.3">
      <c r="A27" t="s">
        <v>1688</v>
      </c>
    </row>
    <row r="28" spans="1:1" x14ac:dyDescent="0.3">
      <c r="A28" t="s">
        <v>1713</v>
      </c>
    </row>
    <row r="29" spans="1:1" x14ac:dyDescent="0.3">
      <c r="A29" t="s">
        <v>1807</v>
      </c>
    </row>
    <row r="30" spans="1:1" x14ac:dyDescent="0.3">
      <c r="A30" t="s">
        <v>1854</v>
      </c>
    </row>
    <row r="31" spans="1:1" x14ac:dyDescent="0.3">
      <c r="A31" t="s">
        <v>1879</v>
      </c>
    </row>
    <row r="32" spans="1:1" x14ac:dyDescent="0.3">
      <c r="A32" t="s">
        <v>1904</v>
      </c>
    </row>
    <row r="33" spans="1:1" x14ac:dyDescent="0.3">
      <c r="A33" t="s">
        <v>1929</v>
      </c>
    </row>
    <row r="34" spans="1:1" x14ac:dyDescent="0.3">
      <c r="A34" t="s">
        <v>1954</v>
      </c>
    </row>
    <row r="35" spans="1:1" x14ac:dyDescent="0.3">
      <c r="A35" t="s">
        <v>1979</v>
      </c>
    </row>
    <row r="36" spans="1:1" x14ac:dyDescent="0.3">
      <c r="A36" t="s">
        <v>2028</v>
      </c>
    </row>
    <row r="37" spans="1:1" x14ac:dyDescent="0.3">
      <c r="A37" t="s">
        <v>2078</v>
      </c>
    </row>
    <row r="38" spans="1:1" x14ac:dyDescent="0.3">
      <c r="A38" t="s">
        <v>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Bibliotheque</vt:lpstr>
      <vt:lpstr>Feuil1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GAUDIN JULIE</dc:creator>
  <cp:lastModifiedBy>GAUDIN JULIE</cp:lastModifiedBy>
  <dcterms:created xsi:type="dcterms:W3CDTF">2025-05-27T09:39:42Z</dcterms:created>
  <dcterms:modified xsi:type="dcterms:W3CDTF">2025-05-27T12:26:21Z</dcterms:modified>
</cp:coreProperties>
</file>